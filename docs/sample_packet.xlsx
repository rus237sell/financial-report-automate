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onthly Close" sheetId="1" state="visible" r:id="rId1"/>
    <sheet xmlns:r="http://schemas.openxmlformats.org/officeDocument/2006/relationships" name="Raw Input" sheetId="2" state="visible" r:id="rId2"/>
    <sheet xmlns:r="http://schemas.openxmlformats.org/officeDocument/2006/relationships" name="Adjustments" sheetId="3" state="visible" r:id="rId3"/>
    <sheet xmlns:r="http://schemas.openxmlformats.org/officeDocument/2006/relationships" name="Dashboard" sheetId="4" state="visible" r:id="rId4"/>
    <sheet xmlns:r="http://schemas.openxmlformats.org/officeDocument/2006/relationships" name="Analysis" sheetId="5" state="visible" r:id="rId5"/>
    <sheet xmlns:r="http://schemas.openxmlformats.org/officeDocument/2006/relationships" name="P&amp;L" sheetId="6" state="visible" r:id="rId6"/>
    <sheet xmlns:r="http://schemas.openxmlformats.org/officeDocument/2006/relationships" name="Detailed P&amp;L" sheetId="7" state="visible" r:id="rId7"/>
    <sheet xmlns:r="http://schemas.openxmlformats.org/officeDocument/2006/relationships" name="Balance Sheet" sheetId="8" state="visible" r:id="rId8"/>
    <sheet xmlns:r="http://schemas.openxmlformats.org/officeDocument/2006/relationships" name="SCF" sheetId="9" state="visible" r:id="rId9"/>
    <sheet xmlns:r="http://schemas.openxmlformats.org/officeDocument/2006/relationships" name="Checks" sheetId="10" state="visible" r:id="rId10"/>
  </sheets>
  <definedNames>
    <definedName name="_xlnm.Print_Titles" localSheetId="3">'Dashboard'!$1:$2</definedName>
    <definedName name="_xlnm.Print_Area" localSheetId="3">'Dashboard'!$A$1:$E$19</definedName>
  </definedNames>
  <calcPr calcId="124519" fullCalcOnLoad="1"/>
</workbook>
</file>

<file path=xl/styles.xml><?xml version="1.0" encoding="utf-8"?>
<styleSheet xmlns="http://schemas.openxmlformats.org/spreadsheetml/2006/main">
  <numFmts count="6">
    <numFmt numFmtId="164" formatCode="0.0%"/>
    <numFmt numFmtId="165" formatCode="&quot;$&quot;#,##0"/>
    <numFmt numFmtId="166" formatCode="+0.0%;-0.0%"/>
    <numFmt numFmtId="167" formatCode="0.00&quot;x&quot;"/>
    <numFmt numFmtId="168" formatCode="0.00&quot; mo&quot;"/>
    <numFmt numFmtId="169" formatCode="0.0&quot; days&quot;"/>
  </numFmts>
  <fonts count="12">
    <font>
      <name val="Calibri"/>
      <family val="2"/>
      <color theme="1"/>
      <sz val="11"/>
      <scheme val="minor"/>
    </font>
    <font>
      <name val="Calibri"/>
      <b val="1"/>
      <color rgb="001F3864"/>
      <sz val="16"/>
    </font>
    <font>
      <name val="Calibri"/>
      <i val="1"/>
      <color rgb="00595959"/>
      <sz val="11"/>
    </font>
    <font>
      <name val="Calibri"/>
      <b val="1"/>
      <color rgb="00FFFFFF"/>
      <sz val="11"/>
    </font>
    <font>
      <name val="Calibri"/>
      <sz val="11"/>
    </font>
    <font>
      <name val="Calibri"/>
      <b val="1"/>
      <sz val="11"/>
    </font>
    <font>
      <name val="Calibri"/>
      <color rgb="00595959"/>
      <sz val="10"/>
    </font>
    <font>
      <name val="Calibri"/>
      <b val="1"/>
      <color rgb="001F3864"/>
      <sz val="12"/>
    </font>
    <font>
      <name val="Calibri"/>
      <b val="1"/>
      <sz val="14"/>
    </font>
    <font>
      <name val="Calibri"/>
      <color rgb="002E7D32"/>
      <sz val="11"/>
    </font>
    <font>
      <name val="Calibri"/>
      <b val="1"/>
      <color rgb="001F3864"/>
      <sz val="11"/>
    </font>
    <font>
      <name val="Calibri"/>
      <b val="1"/>
      <i val="1"/>
      <sz val="11"/>
    </font>
  </fonts>
  <fills count="7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FFF2CC"/>
      </patternFill>
    </fill>
    <fill>
      <patternFill patternType="solid">
        <fgColor rgb="00F2F2F2"/>
      </patternFill>
    </fill>
    <fill>
      <patternFill patternType="solid">
        <fgColor rgb="00FCE4D6"/>
      </patternFill>
    </fill>
    <fill>
      <patternFill patternType="solid">
        <fgColor rgb="00D9E2F3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47">
    <xf numFmtId="0" fontId="0" fillId="0" borderId="0" pivotButton="0" quotePrefix="0" xfId="0"/>
    <xf numFmtId="0" fontId="1" fillId="0" borderId="0" applyAlignment="1" pivotButton="0" quotePrefix="0" xfId="0">
      <alignment horizontal="left" vertical="center" wrapText="1"/>
    </xf>
    <xf numFmtId="0" fontId="2" fillId="0" borderId="0" applyAlignment="1" pivotButton="0" quotePrefix="0" xfId="0">
      <alignment horizontal="left" vertical="center" wrapText="1"/>
    </xf>
    <xf numFmtId="0" fontId="3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center" wrapText="1"/>
    </xf>
    <xf numFmtId="0" fontId="0" fillId="0" borderId="1" applyAlignment="1" pivotButton="0" quotePrefix="0" xfId="0">
      <alignment horizontal="left" vertical="center" wrapText="1"/>
    </xf>
    <xf numFmtId="0" fontId="0" fillId="3" borderId="1" applyAlignment="1" pivotButton="0" quotePrefix="0" xfId="0">
      <alignment horizontal="center" vertical="center" wrapText="1"/>
    </xf>
    <xf numFmtId="0" fontId="0" fillId="0" borderId="1" pivotButton="0" quotePrefix="0" xfId="0"/>
    <xf numFmtId="3" fontId="4" fillId="0" borderId="1" applyAlignment="1" pivotButton="0" quotePrefix="0" xfId="0">
      <alignment horizontal="right" vertical="center"/>
    </xf>
    <xf numFmtId="0" fontId="5" fillId="0" borderId="1" applyAlignment="1" pivotButton="0" quotePrefix="0" xfId="0">
      <alignment horizontal="left" vertical="center" wrapText="1"/>
    </xf>
    <xf numFmtId="164" fontId="0" fillId="3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center" wrapText="1"/>
    </xf>
    <xf numFmtId="2" fontId="0" fillId="3" borderId="1" applyAlignment="1" pivotButton="0" quotePrefix="0" xfId="0">
      <alignment horizontal="center" vertical="center" wrapText="1"/>
    </xf>
    <xf numFmtId="0" fontId="6" fillId="0" borderId="0" applyAlignment="1" pivotButton="0" quotePrefix="0" xfId="0">
      <alignment vertical="top" wrapText="1"/>
    </xf>
    <xf numFmtId="0" fontId="3" fillId="2" borderId="0" applyAlignment="1" pivotButton="0" quotePrefix="0" xfId="0">
      <alignment horizontal="left" vertical="center" wrapText="1"/>
    </xf>
    <xf numFmtId="165" fontId="7" fillId="4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center" vertical="center" wrapText="1"/>
    </xf>
    <xf numFmtId="166" fontId="5" fillId="0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left" vertical="center" wrapText="1"/>
    </xf>
    <xf numFmtId="164" fontId="5" fillId="4" borderId="1" applyAlignment="1" pivotButton="0" quotePrefix="0" xfId="0">
      <alignment horizontal="center" vertical="center" wrapText="1"/>
    </xf>
    <xf numFmtId="164" fontId="0" fillId="0" borderId="1" applyAlignment="1" pivotButton="0" quotePrefix="0" xfId="0">
      <alignment horizontal="center" vertical="center" wrapText="1"/>
    </xf>
    <xf numFmtId="0" fontId="8" fillId="0" borderId="1" applyAlignment="1" pivotButton="0" quotePrefix="0" xfId="0">
      <alignment horizontal="center" vertical="center" wrapText="1"/>
    </xf>
    <xf numFmtId="2" fontId="5" fillId="4" borderId="1" applyAlignment="1" pivotButton="0" quotePrefix="0" xfId="0">
      <alignment horizontal="center" vertical="center" wrapText="1"/>
    </xf>
    <xf numFmtId="2" fontId="0" fillId="0" borderId="1" applyAlignment="1" pivotButton="0" quotePrefix="0" xfId="0">
      <alignment horizontal="center" vertical="center" wrapText="1"/>
    </xf>
    <xf numFmtId="167" fontId="5" fillId="4" borderId="1" applyAlignment="1" pivotButton="0" quotePrefix="0" xfId="0">
      <alignment horizontal="center" vertical="center" wrapText="1"/>
    </xf>
    <xf numFmtId="167" fontId="0" fillId="0" borderId="1" applyAlignment="1" pivotButton="0" quotePrefix="0" xfId="0">
      <alignment horizontal="center" vertical="center" wrapText="1"/>
    </xf>
    <xf numFmtId="168" fontId="5" fillId="4" borderId="1" applyAlignment="1" pivotButton="0" quotePrefix="0" xfId="0">
      <alignment horizontal="center" vertical="center" wrapText="1"/>
    </xf>
    <xf numFmtId="168" fontId="0" fillId="0" borderId="1" applyAlignment="1" pivotButton="0" quotePrefix="0" xfId="0">
      <alignment horizontal="center" vertical="center" wrapText="1"/>
    </xf>
    <xf numFmtId="169" fontId="5" fillId="4" borderId="1" applyAlignment="1" pivotButton="0" quotePrefix="0" xfId="0">
      <alignment horizontal="center" vertical="center" wrapText="1"/>
    </xf>
    <xf numFmtId="169" fontId="0" fillId="0" borderId="1" applyAlignment="1" pivotButton="0" quotePrefix="0" xfId="0">
      <alignment horizontal="center" vertical="center" wrapText="1"/>
    </xf>
    <xf numFmtId="0" fontId="5" fillId="0" borderId="0" pivotButton="0" quotePrefix="0" xfId="0"/>
    <xf numFmtId="0" fontId="4" fillId="5" borderId="1" applyAlignment="1" pivotButton="0" quotePrefix="0" xfId="0">
      <alignment horizontal="left" vertical="center" wrapText="1"/>
    </xf>
    <xf numFmtId="3" fontId="4" fillId="5" borderId="1" applyAlignment="1" pivotButton="0" quotePrefix="0" xfId="0">
      <alignment horizontal="right" vertical="center"/>
    </xf>
    <xf numFmtId="164" fontId="0" fillId="5" borderId="1" applyAlignment="1" pivotButton="0" quotePrefix="0" xfId="0">
      <alignment horizontal="center" vertical="center" wrapText="1"/>
    </xf>
    <xf numFmtId="0" fontId="4" fillId="0" borderId="0" applyAlignment="1" pivotButton="0" quotePrefix="0" xfId="0">
      <alignment vertical="top" wrapText="1"/>
    </xf>
    <xf numFmtId="0" fontId="9" fillId="0" borderId="0" applyAlignment="1" pivotButton="0" quotePrefix="0" xfId="0">
      <alignment horizontal="left" vertical="center" wrapText="1"/>
    </xf>
    <xf numFmtId="3" fontId="5" fillId="0" borderId="1" applyAlignment="1" pivotButton="0" quotePrefix="0" xfId="0">
      <alignment horizontal="right" vertical="center"/>
    </xf>
    <xf numFmtId="3" fontId="10" fillId="4" borderId="1" applyAlignment="1" pivotButton="0" quotePrefix="0" xfId="0">
      <alignment horizontal="right" vertical="center"/>
    </xf>
    <xf numFmtId="164" fontId="4" fillId="0" borderId="1" applyAlignment="1" pivotButton="0" quotePrefix="0" xfId="0">
      <alignment horizontal="center" vertical="center" wrapText="1"/>
    </xf>
    <xf numFmtId="0" fontId="0" fillId="6" borderId="1" pivotButton="0" quotePrefix="0" xfId="0"/>
    <xf numFmtId="0" fontId="5" fillId="6" borderId="1" applyAlignment="1" pivotButton="0" quotePrefix="0" xfId="0">
      <alignment horizontal="left" vertical="center" wrapText="1"/>
    </xf>
    <xf numFmtId="0" fontId="11" fillId="0" borderId="1" applyAlignment="1" pivotButton="0" quotePrefix="0" xfId="0">
      <alignment horizontal="left" vertical="center" wrapText="1"/>
    </xf>
    <xf numFmtId="3" fontId="0" fillId="0" borderId="1" applyAlignment="1" pivotButton="0" quotePrefix="0" xfId="0">
      <alignment horizontal="right" vertical="center"/>
    </xf>
    <xf numFmtId="3" fontId="5" fillId="4" borderId="1" applyAlignment="1" pivotButton="0" quotePrefix="0" xfId="0">
      <alignment horizontal="right" vertical="center"/>
    </xf>
    <xf numFmtId="0" fontId="5" fillId="0" borderId="1" applyAlignment="1" pivotButton="0" quotePrefix="0" xfId="0">
      <alignment horizontal="center" vertical="center" wrapText="1"/>
    </xf>
    <xf numFmtId="3" fontId="0" fillId="0" borderId="1" applyAlignment="1" pivotButton="0" quotePrefix="0" xfId="0">
      <alignment horizontal="center" vertical="center" wrapText="1"/>
    </xf>
  </cellXfs>
  <cellStyles count="1">
    <cellStyle name="Normal" xfId="0" builtinId="0" hidden="0"/>
  </cellStyles>
  <dxfs count="5">
    <dxf>
      <font>
        <color rgb="00006100"/>
      </font>
      <fill>
        <patternFill patternType="solid">
          <fgColor rgb="00C6EFCE"/>
        </patternFill>
      </fill>
    </dxf>
    <dxf>
      <font>
        <color rgb="002E7D32"/>
      </font>
      <fill>
        <patternFill patternType="solid">
          <fgColor rgb="00E2EFDA"/>
        </patternFill>
      </fill>
    </dxf>
    <dxf>
      <font>
        <color rgb="009C6500"/>
      </font>
      <fill>
        <patternFill patternType="solid">
          <fgColor rgb="00FFEB9C"/>
        </patternFill>
      </fill>
    </dxf>
    <dxf>
      <font>
        <color rgb="009C5700"/>
      </font>
      <fill>
        <patternFill patternType="solid">
          <fgColor rgb="00FCE4D6"/>
        </patternFill>
      </fill>
    </dxf>
    <dxf>
      <font>
        <color rgb="009C0006"/>
      </font>
      <fill>
        <patternFill patternType="solid">
          <fgColor rgb="00FFC7CE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1F3864"/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5" customWidth="1" min="1" max="1"/>
    <col width="62" customWidth="1" min="2" max="2"/>
    <col width="18" customWidth="1" min="3" max="3"/>
    <col width="16" customWidth="1" min="4" max="4"/>
    <col width="40" customWidth="1" min="5" max="5"/>
  </cols>
  <sheetData>
    <row r="1" ht="24" customHeight="1">
      <c r="A1" s="1" t="inlineStr">
        <is>
          <t>Acme Foods Co. -- Monthly Close Checklist</t>
        </is>
      </c>
    </row>
    <row r="2">
      <c r="A2" s="2" t="inlineStr">
        <is>
          <t>January 2026</t>
        </is>
      </c>
    </row>
    <row r="4" ht="18" customHeight="1">
      <c r="A4" s="3" t="inlineStr">
        <is>
          <t>#</t>
        </is>
      </c>
      <c r="B4" s="3" t="inlineStr">
        <is>
          <t>Close step</t>
        </is>
      </c>
      <c r="C4" s="3" t="inlineStr">
        <is>
          <t>Owner</t>
        </is>
      </c>
      <c r="D4" s="3" t="inlineStr">
        <is>
          <t>Status</t>
        </is>
      </c>
      <c r="E4" s="3" t="inlineStr">
        <is>
          <t>Notes</t>
        </is>
      </c>
    </row>
    <row r="5" ht="18" customHeight="1">
      <c r="A5" s="4" t="n">
        <v>1</v>
      </c>
      <c r="B5" s="5" t="inlineStr">
        <is>
          <t>Broker commission accruals booked</t>
        </is>
      </c>
      <c r="C5" s="6" t="n"/>
      <c r="D5" s="7" t="n"/>
      <c r="E5" s="6" t="n"/>
    </row>
    <row r="6" ht="18" customHeight="1">
      <c r="A6" s="4" t="n">
        <v>2</v>
      </c>
      <c r="B6" s="5" t="inlineStr">
        <is>
          <t>Co-man payroll: approved hours x pay rates + 11% payroll tax load</t>
        </is>
      </c>
      <c r="C6" s="6" t="n"/>
      <c r="D6" s="7" t="n"/>
      <c r="E6" s="6" t="n"/>
    </row>
    <row r="7" ht="18" customHeight="1">
      <c r="A7" s="4" t="n">
        <v>3</v>
      </c>
      <c r="B7" s="5" t="inlineStr">
        <is>
          <t>Production labor &amp; overhead reallocated by channel revenue %</t>
        </is>
      </c>
      <c r="C7" s="6" t="n"/>
      <c r="D7" s="7" t="n"/>
      <c r="E7" s="6" t="n"/>
    </row>
    <row r="8" ht="18" customHeight="1">
      <c r="A8" s="4" t="n">
        <v>4</v>
      </c>
      <c r="B8" s="5" t="inlineStr">
        <is>
          <t>Loan interest tie-out -- total booked ties to interest expense account</t>
        </is>
      </c>
      <c r="C8" s="6" t="n"/>
      <c r="D8" s="7" t="n"/>
      <c r="E8" s="6" t="n"/>
    </row>
    <row r="9" ht="18" customHeight="1">
      <c r="A9" s="4" t="n">
        <v>5</v>
      </c>
      <c r="B9" s="5" t="inlineStr">
        <is>
          <t>Prepaid amortization for the month</t>
        </is>
      </c>
      <c r="C9" s="6" t="n"/>
      <c r="D9" s="7" t="n"/>
      <c r="E9" s="6" t="n"/>
    </row>
    <row r="10" ht="18" customHeight="1">
      <c r="A10" s="4" t="n">
        <v>6</v>
      </c>
      <c r="B10" s="5" t="inlineStr">
        <is>
          <t>Trade spend / promo accruals</t>
        </is>
      </c>
      <c r="C10" s="6" t="n"/>
      <c r="D10" s="7" t="n"/>
      <c r="E10" s="6" t="n"/>
    </row>
    <row r="11" ht="18" customHeight="1">
      <c r="A11" s="4" t="n">
        <v>7</v>
      </c>
      <c r="B11" s="5" t="inlineStr">
        <is>
          <t>Unapplied cash, stale accruals &amp; clearing accounts reviewed</t>
        </is>
      </c>
      <c r="C11" s="6" t="n"/>
      <c r="D11" s="7" t="n"/>
      <c r="E11" s="6" t="n"/>
    </row>
    <row r="12" ht="18" customHeight="1">
      <c r="A12" s="4" t="n">
        <v>8</v>
      </c>
      <c r="B12" s="5" t="inlineStr">
        <is>
          <t>TB review: out-of-balance = 0, no unmapped accounts</t>
        </is>
      </c>
      <c r="C12" s="6" t="n"/>
      <c r="D12" s="7" t="n"/>
      <c r="E12" s="6" t="n"/>
    </row>
    <row r="13" ht="18" customHeight="1">
      <c r="A13" s="4" t="n">
        <v>9</v>
      </c>
      <c r="B13" s="5" t="inlineStr">
        <is>
          <t>Packet generated -- layout matches prior month (board format)</t>
        </is>
      </c>
      <c r="C13" s="6" t="n"/>
      <c r="D13" s="7" t="n"/>
      <c r="E13" s="6" t="n"/>
    </row>
    <row r="14" ht="18" customHeight="1">
      <c r="A14" s="4" t="n">
        <v>10</v>
      </c>
      <c r="B14" s="5" t="inlineStr">
        <is>
          <t>Variance review &amp; sign-off</t>
        </is>
      </c>
      <c r="C14" s="6" t="n"/>
      <c r="D14" s="7" t="n"/>
      <c r="E14" s="6" t="n"/>
    </row>
  </sheetData>
  <mergeCells count="2">
    <mergeCell ref="A2:E2"/>
    <mergeCell ref="A1:E1"/>
  </mergeCells>
  <dataValidations count="1">
    <dataValidation sqref="D5:D14" showDropDown="0" showInputMessage="0" showErrorMessage="0" allowBlank="1" error="Pick a status from the list." prompt="Close status" type="list">
      <formula1>"Not Started,In Progress,Done,Blocked"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808080"/>
    <outlinePr summaryBelow="1" summaryRight="1"/>
    <pageSetUpPr/>
  </sheetPr>
  <dimension ref="A1:E5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42" customWidth="1" min="2" max="2"/>
    <col width="16" customWidth="1" min="3" max="3"/>
    <col width="16" customWidth="1" min="4" max="4"/>
    <col width="20" customWidth="1" min="5" max="5"/>
  </cols>
  <sheetData>
    <row r="1" ht="18" customHeight="1">
      <c r="A1" s="3" t="inlineStr">
        <is>
          <t>Account Number</t>
        </is>
      </c>
      <c r="B1" s="3" t="inlineStr">
        <is>
          <t>Account Name</t>
        </is>
      </c>
      <c r="C1" s="3" t="inlineStr">
        <is>
          <t>Debit</t>
        </is>
      </c>
      <c r="D1" s="3" t="inlineStr">
        <is>
          <t>Credit</t>
        </is>
      </c>
      <c r="E1" s="3" t="inlineStr">
        <is>
          <t>Channel</t>
        </is>
      </c>
    </row>
    <row r="2">
      <c r="A2" s="8" t="inlineStr">
        <is>
          <t>40000</t>
        </is>
      </c>
      <c r="B2" s="8" t="inlineStr">
        <is>
          <t>Product Sales -- Wholesale</t>
        </is>
      </c>
      <c r="C2" s="9" t="n">
        <v>0</v>
      </c>
      <c r="D2" s="9" t="n">
        <v>520000</v>
      </c>
      <c r="E2" s="6" t="inlineStr">
        <is>
          <t>Wholesale</t>
        </is>
      </c>
    </row>
    <row r="3">
      <c r="A3" s="8" t="inlineStr">
        <is>
          <t>40100</t>
        </is>
      </c>
      <c r="B3" s="8" t="inlineStr">
        <is>
          <t>Product Sales -- DTC</t>
        </is>
      </c>
      <c r="C3" s="9" t="n">
        <v>0</v>
      </c>
      <c r="D3" s="9" t="n">
        <v>210000</v>
      </c>
      <c r="E3" s="6" t="inlineStr">
        <is>
          <t>DTC</t>
        </is>
      </c>
    </row>
    <row r="4">
      <c r="A4" s="8" t="inlineStr">
        <is>
          <t>40200</t>
        </is>
      </c>
      <c r="B4" s="8" t="inlineStr">
        <is>
          <t>Product Sales -- Foodservice</t>
        </is>
      </c>
      <c r="C4" s="9" t="n">
        <v>0</v>
      </c>
      <c r="D4" s="9" t="n">
        <v>95000</v>
      </c>
      <c r="E4" s="6" t="inlineStr">
        <is>
          <t>Foodservice</t>
        </is>
      </c>
    </row>
    <row r="5">
      <c r="A5" s="8" t="inlineStr">
        <is>
          <t>40300</t>
        </is>
      </c>
      <c r="B5" s="8" t="inlineStr">
        <is>
          <t>Shipping Income</t>
        </is>
      </c>
      <c r="C5" s="9" t="n">
        <v>0</v>
      </c>
      <c r="D5" s="9" t="n">
        <v>18000</v>
      </c>
      <c r="E5" s="6" t="inlineStr">
        <is>
          <t>DTC</t>
        </is>
      </c>
    </row>
    <row r="6">
      <c r="A6" s="8" t="inlineStr">
        <is>
          <t>40400</t>
        </is>
      </c>
      <c r="B6" s="8" t="inlineStr">
        <is>
          <t>Other Revenue</t>
        </is>
      </c>
      <c r="C6" s="9" t="n">
        <v>0</v>
      </c>
      <c r="D6" s="9" t="n">
        <v>6500</v>
      </c>
      <c r="E6" s="6" t="inlineStr"/>
    </row>
    <row r="7">
      <c r="A7" s="8" t="inlineStr">
        <is>
          <t>50000</t>
        </is>
      </c>
      <c r="B7" s="8" t="inlineStr">
        <is>
          <t>Raw Materials</t>
        </is>
      </c>
      <c r="C7" s="9" t="n">
        <v>310000</v>
      </c>
      <c r="D7" s="9" t="n">
        <v>0</v>
      </c>
      <c r="E7" s="6" t="inlineStr">
        <is>
          <t>Wholesale</t>
        </is>
      </c>
    </row>
    <row r="8">
      <c r="A8" s="8" t="inlineStr">
        <is>
          <t>50100</t>
        </is>
      </c>
      <c r="B8" s="8" t="inlineStr">
        <is>
          <t>Co-Man Production Fees</t>
        </is>
      </c>
      <c r="C8" s="9" t="n">
        <v>88000</v>
      </c>
      <c r="D8" s="9" t="n">
        <v>0</v>
      </c>
      <c r="E8" s="6" t="inlineStr">
        <is>
          <t>Wholesale</t>
        </is>
      </c>
    </row>
    <row r="9">
      <c r="A9" s="8" t="inlineStr">
        <is>
          <t>50200</t>
        </is>
      </c>
      <c r="B9" s="8" t="inlineStr">
        <is>
          <t>Freight In</t>
        </is>
      </c>
      <c r="C9" s="9" t="n">
        <v>24500</v>
      </c>
      <c r="D9" s="9" t="n">
        <v>0</v>
      </c>
      <c r="E9" s="6" t="inlineStr">
        <is>
          <t>Foodservice</t>
        </is>
      </c>
    </row>
    <row r="10">
      <c r="A10" s="8" t="inlineStr">
        <is>
          <t>50300</t>
        </is>
      </c>
      <c r="B10" s="8" t="inlineStr">
        <is>
          <t>Packaging</t>
        </is>
      </c>
      <c r="C10" s="9" t="n">
        <v>19000</v>
      </c>
      <c r="D10" s="9" t="n">
        <v>0</v>
      </c>
      <c r="E10" s="6" t="inlineStr">
        <is>
          <t>DTC</t>
        </is>
      </c>
    </row>
    <row r="11">
      <c r="A11" s="8" t="inlineStr">
        <is>
          <t>60000</t>
        </is>
      </c>
      <c r="B11" s="8" t="inlineStr">
        <is>
          <t>Salaries &amp; Wages</t>
        </is>
      </c>
      <c r="C11" s="9" t="n">
        <v>145000</v>
      </c>
      <c r="D11" s="9" t="n">
        <v>0</v>
      </c>
      <c r="E11" s="6" t="inlineStr">
        <is>
          <t>Overhead</t>
        </is>
      </c>
    </row>
    <row r="12">
      <c r="A12" s="8" t="inlineStr">
        <is>
          <t>60100</t>
        </is>
      </c>
      <c r="B12" s="8" t="inlineStr">
        <is>
          <t>Payroll Taxes</t>
        </is>
      </c>
      <c r="C12" s="9" t="n">
        <v>15950</v>
      </c>
      <c r="D12" s="9" t="n">
        <v>0</v>
      </c>
      <c r="E12" s="6" t="inlineStr">
        <is>
          <t>Overhead</t>
        </is>
      </c>
    </row>
    <row r="13">
      <c r="A13" s="8" t="inlineStr">
        <is>
          <t>60200</t>
        </is>
      </c>
      <c r="B13" s="8" t="inlineStr">
        <is>
          <t>Employee Benefits</t>
        </is>
      </c>
      <c r="C13" s="9" t="n">
        <v>12400</v>
      </c>
      <c r="D13" s="9" t="n">
        <v>0</v>
      </c>
      <c r="E13" s="6" t="inlineStr">
        <is>
          <t>Overhead</t>
        </is>
      </c>
    </row>
    <row r="14">
      <c r="A14" s="8" t="inlineStr">
        <is>
          <t>61000</t>
        </is>
      </c>
      <c r="B14" s="8" t="inlineStr">
        <is>
          <t>Rent</t>
        </is>
      </c>
      <c r="C14" s="9" t="n">
        <v>18000</v>
      </c>
      <c r="D14" s="9" t="n">
        <v>0</v>
      </c>
      <c r="E14" s="6" t="inlineStr">
        <is>
          <t>Overhead</t>
        </is>
      </c>
    </row>
    <row r="15">
      <c r="A15" s="8" t="inlineStr">
        <is>
          <t>61100</t>
        </is>
      </c>
      <c r="B15" s="8" t="inlineStr">
        <is>
          <t>Utilities</t>
        </is>
      </c>
      <c r="C15" s="9" t="n">
        <v>4200</v>
      </c>
      <c r="D15" s="9" t="n">
        <v>0</v>
      </c>
      <c r="E15" s="6" t="inlineStr">
        <is>
          <t>Overhead</t>
        </is>
      </c>
    </row>
    <row r="16">
      <c r="A16" s="8" t="inlineStr">
        <is>
          <t>62000</t>
        </is>
      </c>
      <c r="B16" s="8" t="inlineStr">
        <is>
          <t>Accounting &amp; Legal</t>
        </is>
      </c>
      <c r="C16" s="9" t="n">
        <v>9500</v>
      </c>
      <c r="D16" s="9" t="n">
        <v>0</v>
      </c>
      <c r="E16" s="6" t="inlineStr">
        <is>
          <t>Overhead</t>
        </is>
      </c>
    </row>
    <row r="17">
      <c r="A17" s="8" t="inlineStr">
        <is>
          <t>62100</t>
        </is>
      </c>
      <c r="B17" s="8" t="inlineStr">
        <is>
          <t>Consulting</t>
        </is>
      </c>
      <c r="C17" s="9" t="n">
        <v>6000</v>
      </c>
      <c r="D17" s="9" t="n">
        <v>0</v>
      </c>
      <c r="E17" s="6" t="inlineStr">
        <is>
          <t>Overhead</t>
        </is>
      </c>
    </row>
    <row r="18">
      <c r="A18" s="8" t="inlineStr">
        <is>
          <t>63000</t>
        </is>
      </c>
      <c r="B18" s="8" t="inlineStr">
        <is>
          <t>Advertising &amp; Marketing</t>
        </is>
      </c>
      <c r="C18" s="9" t="n">
        <v>22000</v>
      </c>
      <c r="D18" s="9" t="n">
        <v>0</v>
      </c>
      <c r="E18" s="6" t="inlineStr">
        <is>
          <t>DTC</t>
        </is>
      </c>
    </row>
    <row r="19">
      <c r="A19" s="8" t="inlineStr">
        <is>
          <t>63100</t>
        </is>
      </c>
      <c r="B19" s="8" t="inlineStr">
        <is>
          <t>Trade Spend</t>
        </is>
      </c>
      <c r="C19" s="9" t="n">
        <v>14500</v>
      </c>
      <c r="D19" s="9" t="n">
        <v>0</v>
      </c>
      <c r="E19" s="6" t="inlineStr">
        <is>
          <t>Wholesale</t>
        </is>
      </c>
    </row>
    <row r="20">
      <c r="A20" s="8" t="inlineStr">
        <is>
          <t>64000</t>
        </is>
      </c>
      <c r="B20" s="8" t="inlineStr">
        <is>
          <t>Depreciation Expense</t>
        </is>
      </c>
      <c r="C20" s="9" t="n">
        <v>7800</v>
      </c>
      <c r="D20" s="9" t="n">
        <v>0</v>
      </c>
      <c r="E20" s="6" t="inlineStr">
        <is>
          <t>Overhead</t>
        </is>
      </c>
    </row>
    <row r="21">
      <c r="A21" s="8" t="inlineStr">
        <is>
          <t>64100</t>
        </is>
      </c>
      <c r="B21" s="8" t="inlineStr">
        <is>
          <t>Amortization Expense</t>
        </is>
      </c>
      <c r="C21" s="9" t="n">
        <v>3200</v>
      </c>
      <c r="D21" s="9" t="n">
        <v>0</v>
      </c>
      <c r="E21" s="6" t="inlineStr">
        <is>
          <t>Overhead</t>
        </is>
      </c>
    </row>
    <row r="22">
      <c r="A22" s="8" t="inlineStr">
        <is>
          <t>69500</t>
        </is>
      </c>
      <c r="B22" s="8" t="inlineStr">
        <is>
          <t>Interest Expense</t>
        </is>
      </c>
      <c r="C22" s="9" t="n">
        <v>11250</v>
      </c>
      <c r="D22" s="9" t="n">
        <v>0</v>
      </c>
      <c r="E22" s="6" t="inlineStr">
        <is>
          <t>Overhead</t>
        </is>
      </c>
    </row>
    <row r="23">
      <c r="A23" s="8" t="inlineStr">
        <is>
          <t>66000</t>
        </is>
      </c>
      <c r="B23" s="8" t="inlineStr">
        <is>
          <t>Insurance</t>
        </is>
      </c>
      <c r="C23" s="9" t="n">
        <v>3600</v>
      </c>
      <c r="D23" s="9" t="n">
        <v>0</v>
      </c>
      <c r="E23" s="6" t="inlineStr">
        <is>
          <t>Overhead</t>
        </is>
      </c>
    </row>
    <row r="24">
      <c r="A24" s="8" t="inlineStr">
        <is>
          <t>66100</t>
        </is>
      </c>
      <c r="B24" s="8" t="inlineStr">
        <is>
          <t>Office Supplies</t>
        </is>
      </c>
      <c r="C24" s="9" t="n">
        <v>2800</v>
      </c>
      <c r="D24" s="9" t="n">
        <v>0</v>
      </c>
      <c r="E24" s="6" t="inlineStr">
        <is>
          <t>Overhead</t>
        </is>
      </c>
    </row>
    <row r="25">
      <c r="A25" s="8" t="inlineStr">
        <is>
          <t>66200</t>
        </is>
      </c>
      <c r="B25" s="8" t="inlineStr">
        <is>
          <t>Travel &amp; Entertainment</t>
        </is>
      </c>
      <c r="C25" s="9" t="n">
        <v>4100</v>
      </c>
      <c r="D25" s="9" t="n">
        <v>0</v>
      </c>
      <c r="E25" s="6" t="inlineStr">
        <is>
          <t>Overhead</t>
        </is>
      </c>
    </row>
    <row r="26">
      <c r="A26" s="8" t="inlineStr">
        <is>
          <t>66300</t>
        </is>
      </c>
      <c r="B26" s="8" t="inlineStr">
        <is>
          <t>Bank Charges</t>
        </is>
      </c>
      <c r="C26" s="9" t="n">
        <v>950</v>
      </c>
      <c r="D26" s="9" t="n">
        <v>0</v>
      </c>
      <c r="E26" s="6" t="inlineStr">
        <is>
          <t>Overhead</t>
        </is>
      </c>
    </row>
    <row r="27">
      <c r="A27" s="8" t="inlineStr">
        <is>
          <t>66400</t>
        </is>
      </c>
      <c r="B27" s="8" t="inlineStr">
        <is>
          <t>Miscellaneous</t>
        </is>
      </c>
      <c r="C27" s="9" t="n">
        <v>1750</v>
      </c>
      <c r="D27" s="9" t="n">
        <v>0</v>
      </c>
      <c r="E27" s="6" t="inlineStr"/>
    </row>
    <row r="28">
      <c r="A28" s="8" t="inlineStr">
        <is>
          <t>70000</t>
        </is>
      </c>
      <c r="B28" s="8" t="inlineStr">
        <is>
          <t>Interest Income</t>
        </is>
      </c>
      <c r="C28" s="9" t="n">
        <v>0</v>
      </c>
      <c r="D28" s="9" t="n">
        <v>1200</v>
      </c>
      <c r="E28" s="6" t="inlineStr"/>
    </row>
    <row r="29">
      <c r="A29" s="8" t="inlineStr">
        <is>
          <t>70100</t>
        </is>
      </c>
      <c r="B29" s="8" t="inlineStr">
        <is>
          <t>Gain on Sale of Assets</t>
        </is>
      </c>
      <c r="C29" s="9" t="n">
        <v>0</v>
      </c>
      <c r="D29" s="9" t="n">
        <v>2500</v>
      </c>
      <c r="E29" s="6" t="inlineStr"/>
    </row>
    <row r="30">
      <c r="A30" s="8" t="inlineStr">
        <is>
          <t>71000</t>
        </is>
      </c>
      <c r="B30" s="8" t="inlineStr">
        <is>
          <t>Other Expense</t>
        </is>
      </c>
      <c r="C30" s="9" t="n">
        <v>4900</v>
      </c>
      <c r="D30" s="9" t="n">
        <v>0</v>
      </c>
      <c r="E30" s="6" t="inlineStr"/>
    </row>
    <row r="31">
      <c r="A31" s="8" t="inlineStr">
        <is>
          <t>10000</t>
        </is>
      </c>
      <c r="B31" s="8" t="inlineStr">
        <is>
          <t>Cash -- Operating</t>
        </is>
      </c>
      <c r="C31" s="9" t="n">
        <v>142300</v>
      </c>
      <c r="D31" s="9" t="n">
        <v>0</v>
      </c>
      <c r="E31" s="6" t="inlineStr"/>
    </row>
    <row r="32">
      <c r="A32" s="8" t="inlineStr">
        <is>
          <t>10100</t>
        </is>
      </c>
      <c r="B32" s="8" t="inlineStr">
        <is>
          <t>Cash -- Payroll</t>
        </is>
      </c>
      <c r="C32" s="9" t="n">
        <v>25000</v>
      </c>
      <c r="D32" s="9" t="n">
        <v>0</v>
      </c>
      <c r="E32" s="6" t="inlineStr"/>
    </row>
    <row r="33">
      <c r="A33" s="8" t="inlineStr">
        <is>
          <t>11000</t>
        </is>
      </c>
      <c r="B33" s="8" t="inlineStr">
        <is>
          <t>Accounts Receivable</t>
        </is>
      </c>
      <c r="C33" s="9" t="n">
        <v>186400</v>
      </c>
      <c r="D33" s="9" t="n">
        <v>0</v>
      </c>
      <c r="E33" s="6" t="inlineStr"/>
    </row>
    <row r="34">
      <c r="A34" s="8" t="inlineStr">
        <is>
          <t>12000</t>
        </is>
      </c>
      <c r="B34" s="8" t="inlineStr">
        <is>
          <t>Inventory -- Raw Materials</t>
        </is>
      </c>
      <c r="C34" s="9" t="n">
        <v>58000</v>
      </c>
      <c r="D34" s="9" t="n">
        <v>0</v>
      </c>
      <c r="E34" s="6" t="inlineStr"/>
    </row>
    <row r="35">
      <c r="A35" s="8" t="inlineStr">
        <is>
          <t>12100</t>
        </is>
      </c>
      <c r="B35" s="8" t="inlineStr">
        <is>
          <t>Inventory -- Finished Goods</t>
        </is>
      </c>
      <c r="C35" s="9" t="n">
        <v>74500</v>
      </c>
      <c r="D35" s="9" t="n">
        <v>0</v>
      </c>
      <c r="E35" s="6" t="inlineStr"/>
    </row>
    <row r="36">
      <c r="A36" s="8" t="inlineStr">
        <is>
          <t>13000</t>
        </is>
      </c>
      <c r="B36" s="8" t="inlineStr">
        <is>
          <t>Prepaid Insurance</t>
        </is>
      </c>
      <c r="C36" s="9" t="n">
        <v>14400</v>
      </c>
      <c r="D36" s="9" t="n">
        <v>0</v>
      </c>
      <c r="E36" s="6" t="inlineStr"/>
    </row>
    <row r="37">
      <c r="A37" s="8" t="inlineStr">
        <is>
          <t>13100</t>
        </is>
      </c>
      <c r="B37" s="8" t="inlineStr">
        <is>
          <t>Prepaid Rent</t>
        </is>
      </c>
      <c r="C37" s="9" t="n">
        <v>9000</v>
      </c>
      <c r="D37" s="9" t="n">
        <v>0</v>
      </c>
      <c r="E37" s="6" t="inlineStr"/>
    </row>
    <row r="38">
      <c r="A38" s="8" t="inlineStr">
        <is>
          <t>14000</t>
        </is>
      </c>
      <c r="B38" s="8" t="inlineStr">
        <is>
          <t>Other Current Assets</t>
        </is>
      </c>
      <c r="C38" s="9" t="n">
        <v>6200</v>
      </c>
      <c r="D38" s="9" t="n">
        <v>0</v>
      </c>
      <c r="E38" s="6" t="inlineStr"/>
    </row>
    <row r="39">
      <c r="A39" s="8" t="inlineStr">
        <is>
          <t>15000</t>
        </is>
      </c>
      <c r="B39" s="8" t="inlineStr">
        <is>
          <t>Machinery &amp; Equipment</t>
        </is>
      </c>
      <c r="C39" s="9" t="n">
        <v>210000</v>
      </c>
      <c r="D39" s="9" t="n">
        <v>0</v>
      </c>
      <c r="E39" s="6" t="inlineStr"/>
    </row>
    <row r="40">
      <c r="A40" s="8" t="inlineStr">
        <is>
          <t>15100</t>
        </is>
      </c>
      <c r="B40" s="8" t="inlineStr">
        <is>
          <t>Leasehold Improvements</t>
        </is>
      </c>
      <c r="C40" s="9" t="n">
        <v>45000</v>
      </c>
      <c r="D40" s="9" t="n">
        <v>0</v>
      </c>
      <c r="E40" s="6" t="inlineStr"/>
    </row>
    <row r="41">
      <c r="A41" s="8" t="inlineStr">
        <is>
          <t>15200</t>
        </is>
      </c>
      <c r="B41" s="8" t="inlineStr">
        <is>
          <t>Accumulated Depreciation</t>
        </is>
      </c>
      <c r="C41" s="9" t="n">
        <v>0</v>
      </c>
      <c r="D41" s="9" t="n">
        <v>96300</v>
      </c>
      <c r="E41" s="6" t="inlineStr"/>
    </row>
    <row r="42">
      <c r="A42" s="8" t="inlineStr">
        <is>
          <t>16000</t>
        </is>
      </c>
      <c r="B42" s="8" t="inlineStr">
        <is>
          <t>Deposits</t>
        </is>
      </c>
      <c r="C42" s="9" t="n">
        <v>12000</v>
      </c>
      <c r="D42" s="9" t="n">
        <v>0</v>
      </c>
      <c r="E42" s="6" t="inlineStr"/>
    </row>
    <row r="43">
      <c r="A43" s="8" t="inlineStr">
        <is>
          <t>20000</t>
        </is>
      </c>
      <c r="B43" s="8" t="inlineStr">
        <is>
          <t>Accounts Payable</t>
        </is>
      </c>
      <c r="C43" s="9" t="n">
        <v>0</v>
      </c>
      <c r="D43" s="9" t="n">
        <v>98700</v>
      </c>
      <c r="E43" s="6" t="inlineStr"/>
    </row>
    <row r="44">
      <c r="A44" s="8" t="inlineStr">
        <is>
          <t>21000</t>
        </is>
      </c>
      <c r="B44" s="8" t="inlineStr">
        <is>
          <t>Accrued Payroll</t>
        </is>
      </c>
      <c r="C44" s="9" t="n">
        <v>0</v>
      </c>
      <c r="D44" s="9" t="n">
        <v>21500</v>
      </c>
      <c r="E44" s="6" t="inlineStr"/>
    </row>
    <row r="45">
      <c r="A45" s="8" t="inlineStr">
        <is>
          <t>21100</t>
        </is>
      </c>
      <c r="B45" s="8" t="inlineStr">
        <is>
          <t>Accrued Expenses</t>
        </is>
      </c>
      <c r="C45" s="9" t="n">
        <v>0</v>
      </c>
      <c r="D45" s="9" t="n">
        <v>12800</v>
      </c>
      <c r="E45" s="6" t="inlineStr"/>
    </row>
    <row r="46">
      <c r="A46" s="8" t="inlineStr">
        <is>
          <t>22000</t>
        </is>
      </c>
      <c r="B46" s="8" t="inlineStr">
        <is>
          <t>Deferred Revenue</t>
        </is>
      </c>
      <c r="C46" s="9" t="n">
        <v>0</v>
      </c>
      <c r="D46" s="9" t="n">
        <v>18000</v>
      </c>
      <c r="E46" s="6" t="inlineStr"/>
    </row>
    <row r="47">
      <c r="A47" s="8" t="inlineStr">
        <is>
          <t>23000</t>
        </is>
      </c>
      <c r="B47" s="8" t="inlineStr">
        <is>
          <t>Current Portion of Long-Term Debt</t>
        </is>
      </c>
      <c r="C47" s="9" t="n">
        <v>0</v>
      </c>
      <c r="D47" s="9" t="n">
        <v>36000</v>
      </c>
      <c r="E47" s="6" t="inlineStr"/>
    </row>
    <row r="48">
      <c r="A48" s="8" t="inlineStr">
        <is>
          <t>23100</t>
        </is>
      </c>
      <c r="B48" s="8" t="inlineStr">
        <is>
          <t>Other Current Liabilities</t>
        </is>
      </c>
      <c r="C48" s="9" t="n">
        <v>0</v>
      </c>
      <c r="D48" s="9" t="n">
        <v>7400</v>
      </c>
      <c r="E48" s="6" t="inlineStr"/>
    </row>
    <row r="49">
      <c r="A49" s="8" t="inlineStr">
        <is>
          <t>24000</t>
        </is>
      </c>
      <c r="B49" s="8" t="inlineStr">
        <is>
          <t>Long-Term Debt</t>
        </is>
      </c>
      <c r="C49" s="9" t="n">
        <v>0</v>
      </c>
      <c r="D49" s="9" t="n">
        <v>185000</v>
      </c>
      <c r="E49" s="6" t="inlineStr"/>
    </row>
    <row r="50">
      <c r="A50" s="8" t="inlineStr">
        <is>
          <t>24100</t>
        </is>
      </c>
      <c r="B50" s="8" t="inlineStr">
        <is>
          <t>Other Noncurrent Liabilities</t>
        </is>
      </c>
      <c r="C50" s="9" t="n">
        <v>0</v>
      </c>
      <c r="D50" s="9" t="n">
        <v>9600</v>
      </c>
      <c r="E50" s="6" t="inlineStr"/>
    </row>
    <row r="51">
      <c r="A51" s="8" t="inlineStr">
        <is>
          <t>30000</t>
        </is>
      </c>
      <c r="B51" s="8" t="inlineStr">
        <is>
          <t>Common Stock</t>
        </is>
      </c>
      <c r="C51" s="9" t="n">
        <v>0</v>
      </c>
      <c r="D51" s="9" t="n">
        <v>50000</v>
      </c>
      <c r="E51" s="6" t="inlineStr"/>
    </row>
    <row r="52">
      <c r="A52" s="8" t="inlineStr">
        <is>
          <t>31000</t>
        </is>
      </c>
      <c r="B52" s="8" t="inlineStr">
        <is>
          <t>Retained Earnings</t>
        </is>
      </c>
      <c r="C52" s="9" t="n">
        <v>0</v>
      </c>
      <c r="D52" s="9" t="n">
        <v>123700</v>
      </c>
      <c r="E52" s="6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E2A900"/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28" customWidth="1" min="1" max="1"/>
    <col width="12" customWidth="1" min="2" max="2"/>
    <col width="12" customWidth="1" min="3" max="3"/>
    <col width="12" customWidth="1" min="4" max="4"/>
    <col width="12" customWidth="1" min="5" max="5"/>
    <col width="14" customWidth="1" min="6" max="6"/>
  </cols>
  <sheetData>
    <row r="1" ht="24" customHeight="1">
      <c r="A1" s="1" t="inlineStr">
        <is>
          <t>Acme Foods Co. -- Grading Scale &amp; Targets</t>
        </is>
      </c>
    </row>
    <row r="2">
      <c r="A2" s="2" t="inlineStr">
        <is>
          <t>January 2026 -- edit the yellow cells; Dashboard grades update automatically</t>
        </is>
      </c>
    </row>
    <row r="3" ht="18" customHeight="1">
      <c r="A3" s="3" t="inlineStr">
        <is>
          <t>KPI</t>
        </is>
      </c>
      <c r="B3" s="3" t="inlineStr">
        <is>
          <t>Target</t>
        </is>
      </c>
      <c r="C3" s="3" t="inlineStr">
        <is>
          <t>B band</t>
        </is>
      </c>
      <c r="D3" s="3" t="inlineStr">
        <is>
          <t>C band</t>
        </is>
      </c>
      <c r="E3" s="3" t="inlineStr">
        <is>
          <t>D band</t>
        </is>
      </c>
      <c r="F3" s="3" t="inlineStr">
        <is>
          <t>Direction</t>
        </is>
      </c>
    </row>
    <row r="4" ht="18" customHeight="1">
      <c r="A4" s="10" t="inlineStr">
        <is>
          <t>Net Profit Margin</t>
        </is>
      </c>
      <c r="B4" s="11" t="n">
        <v>0.15</v>
      </c>
      <c r="C4" s="11" t="n">
        <v>0.02</v>
      </c>
      <c r="D4" s="11" t="n">
        <v>0.05</v>
      </c>
      <c r="E4" s="11" t="n">
        <v>0.08</v>
      </c>
      <c r="F4" s="12" t="inlineStr">
        <is>
          <t>higher</t>
        </is>
      </c>
    </row>
    <row r="5" ht="18" customHeight="1">
      <c r="A5" s="10" t="inlineStr">
        <is>
          <t>Gross Margin</t>
        </is>
      </c>
      <c r="B5" s="11" t="n">
        <v>0.45</v>
      </c>
      <c r="C5" s="11" t="n">
        <v>0.03</v>
      </c>
      <c r="D5" s="11" t="n">
        <v>0.06</v>
      </c>
      <c r="E5" s="11" t="n">
        <v>0.1</v>
      </c>
      <c r="F5" s="12" t="inlineStr">
        <is>
          <t>higher</t>
        </is>
      </c>
    </row>
    <row r="6" ht="18" customHeight="1">
      <c r="A6" s="10" t="inlineStr">
        <is>
          <t>Operating Margin</t>
        </is>
      </c>
      <c r="B6" s="11" t="n">
        <v>0.15</v>
      </c>
      <c r="C6" s="11" t="n">
        <v>0.02</v>
      </c>
      <c r="D6" s="11" t="n">
        <v>0.05</v>
      </c>
      <c r="E6" s="11" t="n">
        <v>0.08</v>
      </c>
      <c r="F6" s="12" t="inlineStr">
        <is>
          <t>higher</t>
        </is>
      </c>
    </row>
    <row r="7" ht="18" customHeight="1">
      <c r="A7" s="10" t="inlineStr">
        <is>
          <t>Operating Expense Ratio</t>
        </is>
      </c>
      <c r="B7" s="11" t="n">
        <v>0.3</v>
      </c>
      <c r="C7" s="11" t="n">
        <v>0.02</v>
      </c>
      <c r="D7" s="11" t="n">
        <v>0.05</v>
      </c>
      <c r="E7" s="11" t="n">
        <v>0.08</v>
      </c>
      <c r="F7" s="12" t="inlineStr">
        <is>
          <t>lower</t>
        </is>
      </c>
    </row>
    <row r="8" ht="18" customHeight="1">
      <c r="A8" s="10" t="inlineStr">
        <is>
          <t>Current Ratio</t>
        </is>
      </c>
      <c r="B8" s="13" t="n">
        <v>2</v>
      </c>
      <c r="C8" s="13" t="n">
        <v>0.25</v>
      </c>
      <c r="D8" s="13" t="n">
        <v>0.5</v>
      </c>
      <c r="E8" s="13" t="n">
        <v>0.75</v>
      </c>
      <c r="F8" s="12" t="inlineStr">
        <is>
          <t>higher</t>
        </is>
      </c>
    </row>
    <row r="9" ht="18" customHeight="1">
      <c r="A9" s="10" t="inlineStr">
        <is>
          <t>Debt to Equity</t>
        </is>
      </c>
      <c r="B9" s="13" t="n">
        <v>1</v>
      </c>
      <c r="C9" s="13" t="n">
        <v>0.25</v>
      </c>
      <c r="D9" s="13" t="n">
        <v>0.5</v>
      </c>
      <c r="E9" s="13" t="n">
        <v>0.75</v>
      </c>
      <c r="F9" s="12" t="inlineStr">
        <is>
          <t>lower</t>
        </is>
      </c>
    </row>
    <row r="10" ht="18" customHeight="1">
      <c r="A10" s="10" t="inlineStr">
        <is>
          <t>Interest Coverage</t>
        </is>
      </c>
      <c r="B10" s="13" t="n">
        <v>5</v>
      </c>
      <c r="C10" s="13" t="n">
        <v>1</v>
      </c>
      <c r="D10" s="13" t="n">
        <v>2</v>
      </c>
      <c r="E10" s="13" t="n">
        <v>3</v>
      </c>
      <c r="F10" s="12" t="inlineStr">
        <is>
          <t>higher</t>
        </is>
      </c>
    </row>
    <row r="11" ht="18" customHeight="1">
      <c r="A11" s="10" t="inlineStr">
        <is>
          <t>Cash Runway</t>
        </is>
      </c>
      <c r="B11" s="13" t="n">
        <v>6</v>
      </c>
      <c r="C11" s="13" t="n">
        <v>1</v>
      </c>
      <c r="D11" s="13" t="n">
        <v>2</v>
      </c>
      <c r="E11" s="13" t="n">
        <v>3</v>
      </c>
      <c r="F11" s="12" t="inlineStr">
        <is>
          <t>higher</t>
        </is>
      </c>
    </row>
    <row r="12" ht="18" customHeight="1">
      <c r="A12" s="10" t="inlineStr">
        <is>
          <t>Days Sales Outstanding</t>
        </is>
      </c>
      <c r="B12" s="13" t="n">
        <v>45</v>
      </c>
      <c r="C12" s="13" t="n">
        <v>5</v>
      </c>
      <c r="D12" s="13" t="n">
        <v>10</v>
      </c>
      <c r="E12" s="13" t="n">
        <v>15</v>
      </c>
      <c r="F12" s="12" t="inlineStr">
        <is>
          <t>lower</t>
        </is>
      </c>
    </row>
    <row r="13" ht="18" customHeight="1">
      <c r="A13" s="10" t="inlineStr">
        <is>
          <t>Cash Conversion Cycle</t>
        </is>
      </c>
      <c r="B13" s="13" t="n">
        <v>30</v>
      </c>
      <c r="C13" s="13" t="n">
        <v>10</v>
      </c>
      <c r="D13" s="13" t="n">
        <v>20</v>
      </c>
      <c r="E13" s="13" t="n">
        <v>30</v>
      </c>
      <c r="F13" s="12" t="inlineStr">
        <is>
          <t>lower</t>
        </is>
      </c>
    </row>
    <row r="14" ht="18" customHeight="1">
      <c r="A14" s="10" t="inlineStr">
        <is>
          <t>Quick Ratio</t>
        </is>
      </c>
      <c r="B14" s="13" t="n">
        <v>1</v>
      </c>
      <c r="C14" s="13" t="n">
        <v>0.2</v>
      </c>
      <c r="D14" s="13" t="n">
        <v>0.4</v>
      </c>
      <c r="E14" s="13" t="n">
        <v>0.6</v>
      </c>
      <c r="F14" s="12" t="inlineStr">
        <is>
          <t>higher</t>
        </is>
      </c>
    </row>
    <row r="17">
      <c r="A17" s="14" t="inlineStr">
        <is>
          <t>How the grading scale works
- Target: the goal for each KPI (edit freely).
- B/C/D bands: how far below target (or above, for "lower" metrics) still earns that grade. Anything worse than the D band is an F.
- Direction "higher" means bigger is better (margins, current ratio); "lower" means smaller is better (expense ratio, leverage).
- Bands are in percentage points for margins, ratio points for ratios, months for cash runway, and days for the days-based metrics (days sales outstanding, cash conversion cycle).</t>
        </is>
      </c>
    </row>
    <row r="18"/>
    <row r="19"/>
    <row r="20"/>
    <row r="21"/>
  </sheetData>
  <mergeCells count="3">
    <mergeCell ref="A17:F21"/>
    <mergeCell ref="A2:F2"/>
    <mergeCell ref="A1:F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2E7D32"/>
    <outlinePr summaryBelow="1" summaryRight="1"/>
    <pageSetUpPr fitToPage="1"/>
  </sheetPr>
  <dimension ref="A1:E19"/>
  <sheetViews>
    <sheetView workbookViewId="0">
      <selection activeCell="A1" sqref="A1"/>
    </sheetView>
  </sheetViews>
  <sheetFormatPr baseColWidth="8" defaultRowHeight="15"/>
  <cols>
    <col width="28" customWidth="1" min="1" max="1"/>
    <col width="14" customWidth="1" min="2" max="2"/>
    <col width="14" customWidth="1" min="3" max="3"/>
    <col width="10" customWidth="1" min="4" max="4"/>
    <col width="42" customWidth="1" min="5" max="5"/>
  </cols>
  <sheetData>
    <row r="1" ht="24" customHeight="1">
      <c r="A1" s="1" t="inlineStr">
        <is>
          <t>Acme Foods Co. -- KPI Dashboard</t>
        </is>
      </c>
    </row>
    <row r="2">
      <c r="A2" s="2" t="inlineStr">
        <is>
          <t>January 2026</t>
        </is>
      </c>
    </row>
    <row r="3" ht="20" customHeight="1">
      <c r="A3" s="15" t="inlineStr">
        <is>
          <t>HEADLINE RESULTS</t>
        </is>
      </c>
    </row>
    <row r="4" ht="20" customHeight="1">
      <c r="A4" s="10" t="inlineStr">
        <is>
          <t>Revenue</t>
        </is>
      </c>
      <c r="B4" s="16">
        <f>'P&amp;L'!B6</f>
        <v/>
      </c>
      <c r="C4" s="17" t="inlineStr">
        <is>
          <t>vs December 2025</t>
        </is>
      </c>
      <c r="D4" s="18" t="n">
        <v>0.08078880407124682</v>
      </c>
      <c r="E4" s="19" t="inlineStr">
        <is>
          <t>Top line for the period</t>
        </is>
      </c>
    </row>
    <row r="5" ht="20" customHeight="1">
      <c r="A5" s="10" t="inlineStr">
        <is>
          <t>Net Income</t>
        </is>
      </c>
      <c r="B5" s="16">
        <f>'P&amp;L'!B22</f>
        <v/>
      </c>
      <c r="C5" s="17" t="inlineStr">
        <is>
          <t>vs 2026 Budget</t>
        </is>
      </c>
      <c r="D5" s="18" t="n">
        <v>0.09560915603580641</v>
      </c>
      <c r="E5" s="19" t="inlineStr">
        <is>
          <t>Budgeted $112,996</t>
        </is>
      </c>
    </row>
    <row r="6" ht="20" customHeight="1">
      <c r="A6" s="10" t="inlineStr">
        <is>
          <t>Cash &amp; Equivalents</t>
        </is>
      </c>
      <c r="B6" s="16">
        <f>'Balance Sheet'!B6</f>
        <v/>
      </c>
      <c r="C6" s="17" t="inlineStr">
        <is>
          <t>vs December 2025</t>
        </is>
      </c>
      <c r="D6" s="18" t="n">
        <v>0.1153333333333333</v>
      </c>
      <c r="E6" s="19" t="inlineStr">
        <is>
          <t>Balance Sheet cash position</t>
        </is>
      </c>
    </row>
    <row r="7" ht="8" customHeight="1"/>
    <row r="8" ht="18" customHeight="1">
      <c r="A8" s="3" t="inlineStr">
        <is>
          <t>KPI</t>
        </is>
      </c>
      <c r="B8" s="3" t="inlineStr">
        <is>
          <t>Actual</t>
        </is>
      </c>
      <c r="C8" s="3" t="inlineStr">
        <is>
          <t>Target</t>
        </is>
      </c>
      <c r="D8" s="3" t="inlineStr">
        <is>
          <t>Grade</t>
        </is>
      </c>
      <c r="E8" s="3" t="inlineStr">
        <is>
          <t>Note</t>
        </is>
      </c>
    </row>
    <row r="9" ht="26" customHeight="1">
      <c r="A9" s="10" t="inlineStr">
        <is>
          <t>Net Profit Margin</t>
        </is>
      </c>
      <c r="B9" s="20">
        <f>'P&amp;L'!C23</f>
        <v/>
      </c>
      <c r="C9" s="21">
        <f>Adjustments!B4</f>
        <v/>
      </c>
      <c r="D9" s="22">
        <f>IF(B9&gt;=Adjustments!$B$4,"A",IF(B9&gt;=Adjustments!$B$4-Adjustments!$C$4,"B",IF(B9&gt;=Adjustments!$B$4-Adjustments!$D$4,"C",IF(B9&gt;=Adjustments!$B$4-Adjustments!$E$4,"D","F"))))</f>
        <v/>
      </c>
      <c r="E9" s="19" t="inlineStr">
        <is>
          <t>Board target -- the headline number</t>
        </is>
      </c>
    </row>
    <row r="10" ht="26" customHeight="1">
      <c r="A10" s="10" t="inlineStr">
        <is>
          <t>Gross Margin</t>
        </is>
      </c>
      <c r="B10" s="20">
        <f>'P&amp;L'!C8</f>
        <v/>
      </c>
      <c r="C10" s="21">
        <f>Adjustments!B5</f>
        <v/>
      </c>
      <c r="D10" s="22">
        <f>IF(B10&gt;=Adjustments!$B$5,"A",IF(B10&gt;=Adjustments!$B$5-Adjustments!$C$5,"B",IF(B10&gt;=Adjustments!$B$5-Adjustments!$D$5,"C",IF(B10&gt;=Adjustments!$B$5-Adjustments!$E$5,"D","F"))))</f>
        <v/>
      </c>
      <c r="E10" s="19" t="inlineStr">
        <is>
          <t>Pricing power &amp; production efficiency</t>
        </is>
      </c>
    </row>
    <row r="11" ht="26" customHeight="1">
      <c r="A11" s="10" t="inlineStr">
        <is>
          <t>Operating Margin</t>
        </is>
      </c>
      <c r="B11" s="20">
        <f>'P&amp;L'!C19</f>
        <v/>
      </c>
      <c r="C11" s="21">
        <f>Adjustments!B6</f>
        <v/>
      </c>
      <c r="D11" s="22">
        <f>IF(B11&gt;=Adjustments!$B$6,"A",IF(B11&gt;=Adjustments!$B$6-Adjustments!$C$6,"B",IF(B11&gt;=Adjustments!$B$6-Adjustments!$D$6,"C",IF(B11&gt;=Adjustments!$B$6-Adjustments!$E$6,"D","F"))))</f>
        <v/>
      </c>
      <c r="E11" s="19" t="inlineStr">
        <is>
          <t>Core operating performance</t>
        </is>
      </c>
    </row>
    <row r="12" ht="26" customHeight="1">
      <c r="A12" s="10" t="inlineStr">
        <is>
          <t>Operating Expense Ratio</t>
        </is>
      </c>
      <c r="B12" s="20">
        <f>'P&amp;L'!B18/'P&amp;L'!B6</f>
        <v/>
      </c>
      <c r="C12" s="21">
        <f>Adjustments!B7</f>
        <v/>
      </c>
      <c r="D12" s="22">
        <f>IF(B12&lt;=Adjustments!$B$7,"A",IF(B12&lt;=Adjustments!$B$7+Adjustments!$C$7,"B",IF(B12&lt;=Adjustments!$B$7+Adjustments!$D$7,"C",IF(B12&lt;=Adjustments!$B$7+Adjustments!$E$7,"D","F"))))</f>
        <v/>
      </c>
      <c r="E12" s="19" t="inlineStr">
        <is>
          <t>Overhead discipline (lower is better)</t>
        </is>
      </c>
    </row>
    <row r="13" ht="26" customHeight="1">
      <c r="A13" s="10" t="inlineStr">
        <is>
          <t>Current Ratio</t>
        </is>
      </c>
      <c r="B13" s="23">
        <f>'Balance Sheet'!B11/'Balance Sheet'!B21</f>
        <v/>
      </c>
      <c r="C13" s="24">
        <f>Adjustments!B8</f>
        <v/>
      </c>
      <c r="D13" s="22">
        <f>IF(B13&gt;=Adjustments!$B$8,"A",IF(B13&gt;=Adjustments!$B$8-Adjustments!$C$8,"B",IF(B13&gt;=Adjustments!$B$8-Adjustments!$D$8,"C",IF(B13&gt;=Adjustments!$B$8-Adjustments!$E$8,"D","F"))))</f>
        <v/>
      </c>
      <c r="E13" s="19" t="inlineStr">
        <is>
          <t>Short-term liquidity cushion</t>
        </is>
      </c>
    </row>
    <row r="14" ht="26" customHeight="1">
      <c r="A14" s="10" t="inlineStr">
        <is>
          <t>Debt to Equity</t>
        </is>
      </c>
      <c r="B14" s="25">
        <f>'Balance Sheet'!B24/'Balance Sheet'!B29</f>
        <v/>
      </c>
      <c r="C14" s="26">
        <f>Adjustments!B9</f>
        <v/>
      </c>
      <c r="D14" s="22">
        <f>IF(B14&lt;=Adjustments!$B$9,"A",IF(B14&lt;=Adjustments!$B$9+Adjustments!$C$9,"B",IF(B14&lt;=Adjustments!$B$9+Adjustments!$D$9,"C",IF(B14&lt;=Adjustments!$B$9+Adjustments!$E$9,"D","F"))))</f>
        <v/>
      </c>
      <c r="E14" s="19" t="inlineStr">
        <is>
          <t>Leverage (lower is better)</t>
        </is>
      </c>
    </row>
    <row r="15" ht="26" customHeight="1">
      <c r="A15" s="10" t="inlineStr">
        <is>
          <t>Interest Coverage</t>
        </is>
      </c>
      <c r="B15" s="25">
        <f>IF('P&amp;L'!B16=0,"N/A",('P&amp;L'!B19+'P&amp;L'!B16)/'P&amp;L'!B16)</f>
        <v/>
      </c>
      <c r="C15" s="26">
        <f>Adjustments!B10</f>
        <v/>
      </c>
      <c r="D15" s="22">
        <f>IF(B15&gt;=Adjustments!$B$10,"A",IF(B15&gt;=Adjustments!$B$10-Adjustments!$C$10,"B",IF(B15&gt;=Adjustments!$B$10-Adjustments!$D$10,"C",IF(B15&gt;=Adjustments!$B$10-Adjustments!$E$10,"D","F"))))</f>
        <v/>
      </c>
      <c r="E15" s="19" t="inlineStr">
        <is>
          <t>Debt-service cushion (higher is better)</t>
        </is>
      </c>
    </row>
    <row r="16" ht="26" customHeight="1">
      <c r="A16" s="10" t="inlineStr">
        <is>
          <t>Cash Runway</t>
        </is>
      </c>
      <c r="B16" s="27">
        <f>IF('P&amp;L'!B18=0,"N/A",'Balance Sheet'!B6/('P&amp;L'!B18/12))</f>
        <v/>
      </c>
      <c r="C16" s="28">
        <f>Adjustments!B11</f>
        <v/>
      </c>
      <c r="D16" s="22">
        <f>IF(B16&gt;=Adjustments!$B$11,"A",IF(B16&gt;=Adjustments!$B$11-Adjustments!$C$11,"B",IF(B16&gt;=Adjustments!$B$11-Adjustments!$D$11,"C",IF(B16&gt;=Adjustments!$B$11-Adjustments!$E$11,"D","F"))))</f>
        <v/>
      </c>
      <c r="E16" s="19" t="inlineStr">
        <is>
          <t>Months of opex covered by cash (higher is better)</t>
        </is>
      </c>
    </row>
    <row r="17" ht="26" customHeight="1">
      <c r="A17" s="10" t="inlineStr">
        <is>
          <t>Days Sales Outstanding</t>
        </is>
      </c>
      <c r="B17" s="29">
        <f>IF('P&amp;L'!B6=0,"N/A",'Balance Sheet'!B7/('P&amp;L'!B6*12/365))</f>
        <v/>
      </c>
      <c r="C17" s="30">
        <f>Adjustments!B12</f>
        <v/>
      </c>
      <c r="D17" s="22">
        <f>IF(B17&lt;=Adjustments!$B$12,"A",IF(B17&lt;=Adjustments!$B$12+Adjustments!$C$12,"B",IF(B17&lt;=Adjustments!$B$12+Adjustments!$D$12,"C",IF(B17&lt;=Adjustments!$B$12+Adjustments!$E$12,"D","F"))))</f>
        <v/>
      </c>
      <c r="E17" s="19" t="inlineStr">
        <is>
          <t>Collection speed (lower is better)</t>
        </is>
      </c>
    </row>
    <row r="18" ht="26" customHeight="1">
      <c r="A18" s="10" t="inlineStr">
        <is>
          <t>Cash Conversion Cycle</t>
        </is>
      </c>
      <c r="B18" s="29">
        <f>IF(OR('P&amp;L'!B6=0,'P&amp;L'!B7=0),"N/A",'Balance Sheet'!B7/('P&amp;L'!B6*12/365)+'Balance Sheet'!B8/('P&amp;L'!B7*12/365)-'Balance Sheet'!B16/('P&amp;L'!B7*12/365))</f>
        <v/>
      </c>
      <c r="C18" s="30">
        <f>Adjustments!B13</f>
        <v/>
      </c>
      <c r="D18" s="22">
        <f>IF(B18&lt;=Adjustments!$B$13,"A",IF(B18&lt;=Adjustments!$B$13+Adjustments!$C$13,"B",IF(B18&lt;=Adjustments!$B$13+Adjustments!$D$13,"C",IF(B18&lt;=Adjustments!$B$13+Adjustments!$E$13,"D","F"))))</f>
        <v/>
      </c>
      <c r="E18" s="19" t="inlineStr">
        <is>
          <t>Days cash is tied up in working capital (lower is better)</t>
        </is>
      </c>
    </row>
    <row r="19" ht="26" customHeight="1">
      <c r="A19" s="10" t="inlineStr">
        <is>
          <t>Quick Ratio</t>
        </is>
      </c>
      <c r="B19" s="23">
        <f>IF('Balance Sheet'!B21=0,"N/A",('Balance Sheet'!B6+'Balance Sheet'!B7)/'Balance Sheet'!B21)</f>
        <v/>
      </c>
      <c r="C19" s="24">
        <f>Adjustments!B14</f>
        <v/>
      </c>
      <c r="D19" s="22">
        <f>IF(B19&gt;=Adjustments!$B$14,"A",IF(B19&gt;=Adjustments!$B$14-Adjustments!$C$14,"B",IF(B19&gt;=Adjustments!$B$14-Adjustments!$D$14,"C",IF(B19&gt;=Adjustments!$B$14-Adjustments!$E$14,"D","F"))))</f>
        <v/>
      </c>
      <c r="E19" s="19" t="inlineStr">
        <is>
          <t>Immediate liquidity without selling inventory (higher is better)</t>
        </is>
      </c>
    </row>
  </sheetData>
  <mergeCells count="3">
    <mergeCell ref="A2:E2"/>
    <mergeCell ref="A1:E1"/>
    <mergeCell ref="A3:E3"/>
  </mergeCells>
  <conditionalFormatting sqref="D9:D19">
    <cfRule type="cellIs" priority="1" operator="equal" dxfId="0">
      <formula>"A"</formula>
    </cfRule>
    <cfRule type="cellIs" priority="2" operator="equal" dxfId="1">
      <formula>"B"</formula>
    </cfRule>
    <cfRule type="cellIs" priority="3" operator="equal" dxfId="2">
      <formula>"C"</formula>
    </cfRule>
    <cfRule type="cellIs" priority="4" operator="equal" dxfId="3">
      <formula>"D"</formula>
    </cfRule>
    <cfRule type="cellIs" priority="5" operator="equal" dxfId="4">
      <formula>"F"</formula>
    </cfRule>
  </conditionalFormatting>
  <pageMargins left="0.4" right="0.4" top="0.5" bottom="0.5" header="0.5" footer="0.5"/>
  <pageSetup orientation="landscape" paperSize="1" fitToHeight="1" fitToWidth="1"/>
</worksheet>
</file>

<file path=xl/worksheets/sheet5.xml><?xml version="1.0" encoding="utf-8"?>
<worksheet xmlns="http://schemas.openxmlformats.org/spreadsheetml/2006/main">
  <sheetPr>
    <tabColor rgb="007B1FA2"/>
    <outlinePr summaryBelow="1" summaryRight="1"/>
    <pageSetUpPr/>
  </sheetPr>
  <dimension ref="A1:E75"/>
  <sheetViews>
    <sheetView workbookViewId="0">
      <selection activeCell="A1" sqref="A1"/>
    </sheetView>
  </sheetViews>
  <sheetFormatPr baseColWidth="8" defaultRowHeight="15"/>
  <cols>
    <col width="36" customWidth="1" min="1" max="1"/>
    <col width="18" customWidth="1" min="2" max="2"/>
    <col width="18" customWidth="1" min="3" max="3"/>
    <col width="18" customWidth="1" min="4" max="4"/>
    <col width="14" customWidth="1" min="5" max="5"/>
  </cols>
  <sheetData>
    <row r="1" ht="24" customHeight="1">
      <c r="A1" s="1" t="inlineStr">
        <is>
          <t>Acme Foods Co. -- Automatic Analysis</t>
        </is>
      </c>
    </row>
    <row r="2">
      <c r="A2" s="2" t="inlineStr">
        <is>
          <t>January 2026 vs December 2025</t>
        </is>
      </c>
    </row>
    <row r="4">
      <c r="A4" s="31" t="inlineStr">
        <is>
          <t>Variance by GL line</t>
        </is>
      </c>
    </row>
    <row r="5" ht="18" customHeight="1">
      <c r="A5" s="3" t="inlineStr">
        <is>
          <t>GL line</t>
        </is>
      </c>
      <c r="B5" s="3" t="inlineStr">
        <is>
          <t>Current</t>
        </is>
      </c>
      <c r="C5" s="3" t="inlineStr">
        <is>
          <t>December 2025</t>
        </is>
      </c>
      <c r="D5" s="3" t="inlineStr">
        <is>
          <t>$ Change</t>
        </is>
      </c>
      <c r="E5" s="3" t="inlineStr">
        <is>
          <t>% Change</t>
        </is>
      </c>
    </row>
    <row r="6">
      <c r="A6" s="5" t="inlineStr">
        <is>
          <t>Revenue</t>
        </is>
      </c>
      <c r="B6" s="9" t="n">
        <v>849500</v>
      </c>
      <c r="C6" s="9" t="n">
        <v>786000</v>
      </c>
      <c r="D6" s="9" t="n">
        <v>63500</v>
      </c>
      <c r="E6" s="21" t="n">
        <v>0.08078880407124682</v>
      </c>
    </row>
    <row r="7">
      <c r="A7" s="5" t="inlineStr">
        <is>
          <t>Cost of Goods Sold</t>
        </is>
      </c>
      <c r="B7" s="9" t="n">
        <v>441500</v>
      </c>
      <c r="C7" s="9" t="n">
        <v>415000</v>
      </c>
      <c r="D7" s="9" t="n">
        <v>26500</v>
      </c>
      <c r="E7" s="21" t="n">
        <v>0.06385542168674699</v>
      </c>
    </row>
    <row r="8">
      <c r="A8" s="32" t="inlineStr">
        <is>
          <t>Cash &amp; Cash Equivalents</t>
        </is>
      </c>
      <c r="B8" s="33" t="n">
        <v>167300</v>
      </c>
      <c r="C8" s="33" t="n">
        <v>150000</v>
      </c>
      <c r="D8" s="33" t="n">
        <v>17300</v>
      </c>
      <c r="E8" s="34" t="n">
        <v>0.1153333333333333</v>
      </c>
    </row>
    <row r="9">
      <c r="A9" s="5" t="inlineStr">
        <is>
          <t>Accounts Receivable</t>
        </is>
      </c>
      <c r="B9" s="9" t="n">
        <v>186400</v>
      </c>
      <c r="C9" s="9" t="n">
        <v>172000</v>
      </c>
      <c r="D9" s="9" t="n">
        <v>14400</v>
      </c>
      <c r="E9" s="21" t="n">
        <v>0.08372093023255814</v>
      </c>
    </row>
    <row r="10">
      <c r="A10" s="5" t="inlineStr">
        <is>
          <t>Long-Term Debt</t>
        </is>
      </c>
      <c r="B10" s="9" t="n">
        <v>185000</v>
      </c>
      <c r="C10" s="9" t="n">
        <v>195000</v>
      </c>
      <c r="D10" s="9" t="n">
        <v>-10000</v>
      </c>
      <c r="E10" s="21" t="n">
        <v>-0.05128205128205128</v>
      </c>
    </row>
    <row r="11">
      <c r="A11" s="5" t="inlineStr">
        <is>
          <t>Inventory</t>
        </is>
      </c>
      <c r="B11" s="9" t="n">
        <v>132500</v>
      </c>
      <c r="C11" s="9" t="n">
        <v>123000</v>
      </c>
      <c r="D11" s="9" t="n">
        <v>9500</v>
      </c>
      <c r="E11" s="21" t="n">
        <v>0.07723577235772358</v>
      </c>
    </row>
    <row r="12">
      <c r="A12" s="5" t="inlineStr">
        <is>
          <t>Property &amp; Equipment, net</t>
        </is>
      </c>
      <c r="B12" s="9" t="n">
        <v>158700</v>
      </c>
      <c r="C12" s="9" t="n">
        <v>166500</v>
      </c>
      <c r="D12" s="9" t="n">
        <v>-7800</v>
      </c>
      <c r="E12" s="21" t="n">
        <v>-0.04684684684684685</v>
      </c>
    </row>
    <row r="13">
      <c r="A13" s="5" t="inlineStr">
        <is>
          <t>Retained Earnings, Beginning</t>
        </is>
      </c>
      <c r="B13" s="9" t="n">
        <v>123700</v>
      </c>
      <c r="C13" s="9" t="n">
        <v>116020</v>
      </c>
      <c r="D13" s="9" t="n">
        <v>7680</v>
      </c>
      <c r="E13" s="21" t="n">
        <v>0.06619548353732115</v>
      </c>
    </row>
    <row r="14">
      <c r="A14" s="5" t="inlineStr">
        <is>
          <t>Accounts Payable</t>
        </is>
      </c>
      <c r="B14" s="9" t="n">
        <v>98700</v>
      </c>
      <c r="C14" s="9" t="n">
        <v>91200</v>
      </c>
      <c r="D14" s="9" t="n">
        <v>7500</v>
      </c>
      <c r="E14" s="21" t="n">
        <v>0.08223684210526316</v>
      </c>
    </row>
    <row r="15">
      <c r="A15" s="5" t="inlineStr">
        <is>
          <t>Salaries &amp; Wages</t>
        </is>
      </c>
      <c r="B15" s="9" t="n">
        <v>145000</v>
      </c>
      <c r="C15" s="9" t="n">
        <v>139000</v>
      </c>
      <c r="D15" s="9" t="n">
        <v>6000</v>
      </c>
      <c r="E15" s="21" t="n">
        <v>0.04316546762589928</v>
      </c>
    </row>
    <row r="16">
      <c r="A16" s="5" t="inlineStr">
        <is>
          <t>Sales &amp; Marketing</t>
        </is>
      </c>
      <c r="B16" s="9" t="n">
        <v>36500</v>
      </c>
      <c r="C16" s="9" t="n">
        <v>34100</v>
      </c>
      <c r="D16" s="9" t="n">
        <v>2400</v>
      </c>
      <c r="E16" s="21" t="n">
        <v>0.07038123167155426</v>
      </c>
    </row>
    <row r="17">
      <c r="A17" s="5" t="inlineStr">
        <is>
          <t>Accrued Expenses</t>
        </is>
      </c>
      <c r="B17" s="9" t="n">
        <v>34300</v>
      </c>
      <c r="C17" s="9" t="n">
        <v>32600</v>
      </c>
      <c r="D17" s="9" t="n">
        <v>1700</v>
      </c>
      <c r="E17" s="21" t="n">
        <v>0.05214723926380368</v>
      </c>
    </row>
    <row r="18">
      <c r="A18" s="5" t="inlineStr">
        <is>
          <t>Deferred Revenue</t>
        </is>
      </c>
      <c r="B18" s="9" t="n">
        <v>18000</v>
      </c>
      <c r="C18" s="9" t="n">
        <v>16500</v>
      </c>
      <c r="D18" s="9" t="n">
        <v>1500</v>
      </c>
      <c r="E18" s="21" t="n">
        <v>0.09090909090909091</v>
      </c>
    </row>
    <row r="19">
      <c r="A19" s="5" t="inlineStr">
        <is>
          <t>Prepaid Expenses</t>
        </is>
      </c>
      <c r="B19" s="9" t="n">
        <v>23400</v>
      </c>
      <c r="C19" s="9" t="n">
        <v>22000</v>
      </c>
      <c r="D19" s="9" t="n">
        <v>1400</v>
      </c>
      <c r="E19" s="21" t="n">
        <v>0.06363636363636363</v>
      </c>
    </row>
    <row r="20">
      <c r="A20" s="5" t="inlineStr">
        <is>
          <t>Payroll Taxes &amp; Benefits</t>
        </is>
      </c>
      <c r="B20" s="9" t="n">
        <v>28350</v>
      </c>
      <c r="C20" s="9" t="n">
        <v>27170</v>
      </c>
      <c r="D20" s="9" t="n">
        <v>1180</v>
      </c>
      <c r="E20" s="21" t="n">
        <v>0.04343025395656975</v>
      </c>
    </row>
    <row r="21">
      <c r="A21" s="5" t="inlineStr">
        <is>
          <t>Other Operating Expenses</t>
        </is>
      </c>
      <c r="B21" s="9" t="n">
        <v>13200</v>
      </c>
      <c r="C21" s="9" t="n">
        <v>12600</v>
      </c>
      <c r="D21" s="9" t="n">
        <v>600</v>
      </c>
      <c r="E21" s="21" t="n">
        <v>0.04761904761904762</v>
      </c>
    </row>
    <row r="22">
      <c r="A22" s="5" t="inlineStr">
        <is>
          <t>Professional Fees</t>
        </is>
      </c>
      <c r="B22" s="9" t="n">
        <v>15500</v>
      </c>
      <c r="C22" s="9" t="n">
        <v>14900</v>
      </c>
      <c r="D22" s="9" t="n">
        <v>600</v>
      </c>
      <c r="E22" s="21" t="n">
        <v>0.04026845637583892</v>
      </c>
    </row>
    <row r="23">
      <c r="A23" s="5" t="inlineStr">
        <is>
          <t>Interest Expense</t>
        </is>
      </c>
      <c r="B23" s="9" t="n">
        <v>11250</v>
      </c>
      <c r="C23" s="9" t="n">
        <v>11750</v>
      </c>
      <c r="D23" s="9" t="n">
        <v>-500</v>
      </c>
      <c r="E23" s="21" t="n">
        <v>-0.0425531914893617</v>
      </c>
    </row>
    <row r="24">
      <c r="A24" s="5" t="inlineStr">
        <is>
          <t>Other Current Liabilities</t>
        </is>
      </c>
      <c r="B24" s="9" t="n">
        <v>7400</v>
      </c>
      <c r="C24" s="9" t="n">
        <v>7100</v>
      </c>
      <c r="D24" s="9" t="n">
        <v>300</v>
      </c>
      <c r="E24" s="21" t="n">
        <v>0.04225352112676056</v>
      </c>
    </row>
    <row r="25">
      <c r="A25" s="5" t="inlineStr">
        <is>
          <t>Other Current Assets</t>
        </is>
      </c>
      <c r="B25" s="9" t="n">
        <v>6200</v>
      </c>
      <c r="C25" s="9" t="n">
        <v>6000</v>
      </c>
      <c r="D25" s="9" t="n">
        <v>200</v>
      </c>
      <c r="E25" s="21" t="n">
        <v>0.03333333333333333</v>
      </c>
    </row>
    <row r="26">
      <c r="A26" s="5" t="inlineStr">
        <is>
          <t>Other Income (Expense), net</t>
        </is>
      </c>
      <c r="B26" s="9" t="n">
        <v>-1200</v>
      </c>
      <c r="C26" s="9" t="n">
        <v>-1000</v>
      </c>
      <c r="D26" s="9" t="n">
        <v>-200</v>
      </c>
      <c r="E26" s="21" t="n">
        <v>-0.2</v>
      </c>
    </row>
    <row r="27">
      <c r="A27" s="5" t="inlineStr">
        <is>
          <t>Rent &amp; Facilities</t>
        </is>
      </c>
      <c r="B27" s="9" t="n">
        <v>22200</v>
      </c>
      <c r="C27" s="9" t="n">
        <v>22000</v>
      </c>
      <c r="D27" s="9" t="n">
        <v>200</v>
      </c>
      <c r="E27" s="21" t="n">
        <v>0.00909090909090909</v>
      </c>
    </row>
    <row r="28">
      <c r="A28" s="5" t="inlineStr">
        <is>
          <t>Common Stock</t>
        </is>
      </c>
      <c r="B28" s="9" t="n">
        <v>50000</v>
      </c>
      <c r="C28" s="9" t="n">
        <v>50000</v>
      </c>
      <c r="D28" s="9" t="n">
        <v>0</v>
      </c>
      <c r="E28" s="21" t="n">
        <v>0</v>
      </c>
    </row>
    <row r="29">
      <c r="A29" s="5" t="inlineStr">
        <is>
          <t>Current Portion of Long-Term Debt</t>
        </is>
      </c>
      <c r="B29" s="9" t="n">
        <v>36000</v>
      </c>
      <c r="C29" s="9" t="n">
        <v>36000</v>
      </c>
      <c r="D29" s="9" t="n">
        <v>0</v>
      </c>
      <c r="E29" s="21" t="n">
        <v>0</v>
      </c>
    </row>
    <row r="30">
      <c r="A30" s="5" t="inlineStr">
        <is>
          <t>Depreciation &amp; Amortization</t>
        </is>
      </c>
      <c r="B30" s="9" t="n">
        <v>11000</v>
      </c>
      <c r="C30" s="9" t="n">
        <v>11000</v>
      </c>
      <c r="D30" s="9" t="n">
        <v>0</v>
      </c>
      <c r="E30" s="21" t="n">
        <v>0</v>
      </c>
    </row>
    <row r="31">
      <c r="A31" s="5" t="inlineStr">
        <is>
          <t>Other Noncurrent Assets</t>
        </is>
      </c>
      <c r="B31" s="9" t="n">
        <v>12000</v>
      </c>
      <c r="C31" s="9" t="n">
        <v>12000</v>
      </c>
      <c r="D31" s="9" t="n">
        <v>0</v>
      </c>
      <c r="E31" s="21" t="n">
        <v>0</v>
      </c>
    </row>
    <row r="32">
      <c r="A32" s="5" t="inlineStr">
        <is>
          <t>Other Noncurrent Liabilities</t>
        </is>
      </c>
      <c r="B32" s="9" t="n">
        <v>9600</v>
      </c>
      <c r="C32" s="9" t="n">
        <v>9600</v>
      </c>
      <c r="D32" s="9" t="n">
        <v>0</v>
      </c>
      <c r="E32" s="21" t="n">
        <v>0</v>
      </c>
    </row>
    <row r="34">
      <c r="A34" s="31" t="inlineStr">
        <is>
          <t>Budget vs Actual (2026 Budget)</t>
        </is>
      </c>
    </row>
    <row r="35" ht="18" customHeight="1">
      <c r="A35" s="3" t="inlineStr">
        <is>
          <t>GL line</t>
        </is>
      </c>
      <c r="B35" s="3" t="inlineStr">
        <is>
          <t>Actual</t>
        </is>
      </c>
      <c r="C35" s="3" t="inlineStr">
        <is>
          <t>Budget</t>
        </is>
      </c>
      <c r="D35" s="3" t="inlineStr">
        <is>
          <t>Variance $</t>
        </is>
      </c>
      <c r="E35" s="3" t="inlineStr">
        <is>
          <t>Variance %</t>
        </is>
      </c>
    </row>
    <row r="36">
      <c r="A36" s="5" t="inlineStr">
        <is>
          <t>Revenue</t>
        </is>
      </c>
      <c r="B36" s="9" t="n">
        <v>849500</v>
      </c>
      <c r="C36" s="9" t="n">
        <v>819767.5</v>
      </c>
      <c r="D36" s="9" t="n">
        <v>29732.5</v>
      </c>
      <c r="E36" s="21" t="n">
        <v>0.03626943005181347</v>
      </c>
    </row>
    <row r="37">
      <c r="A37" s="5" t="inlineStr">
        <is>
          <t>Cost of Goods Sold</t>
        </is>
      </c>
      <c r="B37" s="9" t="n">
        <v>441500</v>
      </c>
      <c r="C37" s="9" t="n">
        <v>428255</v>
      </c>
      <c r="D37" s="9" t="n">
        <v>13245</v>
      </c>
      <c r="E37" s="21" t="n">
        <v>0.03092783505154639</v>
      </c>
    </row>
    <row r="38">
      <c r="A38" s="5" t="inlineStr">
        <is>
          <t>Cash &amp; Cash Equivalents</t>
        </is>
      </c>
      <c r="B38" s="9" t="n">
        <v>167300</v>
      </c>
      <c r="C38" s="9" t="n">
        <v>158935</v>
      </c>
      <c r="D38" s="9" t="n">
        <v>8365</v>
      </c>
      <c r="E38" s="21" t="n">
        <v>0.05263157894736842</v>
      </c>
    </row>
    <row r="39">
      <c r="A39" s="5" t="inlineStr">
        <is>
          <t>Accounts Receivable</t>
        </is>
      </c>
      <c r="B39" s="9" t="n">
        <v>186400</v>
      </c>
      <c r="C39" s="9" t="n">
        <v>180808</v>
      </c>
      <c r="D39" s="9" t="n">
        <v>5592</v>
      </c>
      <c r="E39" s="21" t="n">
        <v>0.03092783505154639</v>
      </c>
    </row>
    <row r="40">
      <c r="A40" s="5" t="inlineStr">
        <is>
          <t>Inventory</t>
        </is>
      </c>
      <c r="B40" s="9" t="n">
        <v>132500</v>
      </c>
      <c r="C40" s="9" t="n">
        <v>127200</v>
      </c>
      <c r="D40" s="9" t="n">
        <v>5300</v>
      </c>
      <c r="E40" s="21" t="n">
        <v>0.04166666666666666</v>
      </c>
    </row>
    <row r="41">
      <c r="A41" s="5" t="inlineStr">
        <is>
          <t>Accounts Payable</t>
        </is>
      </c>
      <c r="B41" s="9" t="n">
        <v>98700</v>
      </c>
      <c r="C41" s="9" t="n">
        <v>94752</v>
      </c>
      <c r="D41" s="9" t="n">
        <v>3948</v>
      </c>
      <c r="E41" s="21" t="n">
        <v>0.04166666666666666</v>
      </c>
    </row>
    <row r="42">
      <c r="A42" s="5" t="inlineStr">
        <is>
          <t>Long-Term Debt</t>
        </is>
      </c>
      <c r="B42" s="9" t="n">
        <v>185000</v>
      </c>
      <c r="C42" s="9" t="n">
        <v>188700</v>
      </c>
      <c r="D42" s="9" t="n">
        <v>-3700</v>
      </c>
      <c r="E42" s="21" t="n">
        <v>-0.0196078431372549</v>
      </c>
    </row>
    <row r="43">
      <c r="A43" s="5" t="inlineStr">
        <is>
          <t>Retained Earnings, Beginning</t>
        </is>
      </c>
      <c r="B43" s="9" t="n">
        <v>123700</v>
      </c>
      <c r="C43" s="9" t="n">
        <v>120312.5</v>
      </c>
      <c r="D43" s="9" t="n">
        <v>3387.5</v>
      </c>
      <c r="E43" s="21" t="n">
        <v>0.02815584415584416</v>
      </c>
    </row>
    <row r="44">
      <c r="A44" s="5" t="inlineStr">
        <is>
          <t>Salaries &amp; Wages</t>
        </is>
      </c>
      <c r="B44" s="9" t="n">
        <v>145000</v>
      </c>
      <c r="C44" s="9" t="n">
        <v>142100</v>
      </c>
      <c r="D44" s="9" t="n">
        <v>2900</v>
      </c>
      <c r="E44" s="21" t="n">
        <v>0.02040816326530612</v>
      </c>
    </row>
    <row r="45">
      <c r="A45" s="5" t="inlineStr">
        <is>
          <t>Property &amp; Equipment, net</t>
        </is>
      </c>
      <c r="B45" s="9" t="n">
        <v>158700</v>
      </c>
      <c r="C45" s="9" t="n">
        <v>161589</v>
      </c>
      <c r="D45" s="9" t="n">
        <v>-2889</v>
      </c>
      <c r="E45" s="21" t="n">
        <v>-0.0178786922377142</v>
      </c>
    </row>
    <row r="46">
      <c r="A46" s="5" t="inlineStr">
        <is>
          <t>Accrued Expenses</t>
        </is>
      </c>
      <c r="B46" s="9" t="n">
        <v>34300</v>
      </c>
      <c r="C46" s="9" t="n">
        <v>33271</v>
      </c>
      <c r="D46" s="9" t="n">
        <v>1029</v>
      </c>
      <c r="E46" s="21" t="n">
        <v>0.03092783505154639</v>
      </c>
    </row>
    <row r="47">
      <c r="A47" s="5" t="inlineStr">
        <is>
          <t>Deferred Revenue</t>
        </is>
      </c>
      <c r="B47" s="9" t="n">
        <v>18000</v>
      </c>
      <c r="C47" s="9" t="n">
        <v>17100</v>
      </c>
      <c r="D47" s="9" t="n">
        <v>900</v>
      </c>
      <c r="E47" s="21" t="n">
        <v>0.05263157894736842</v>
      </c>
    </row>
    <row r="48">
      <c r="A48" s="5" t="inlineStr">
        <is>
          <t>Sales &amp; Marketing</t>
        </is>
      </c>
      <c r="B48" s="9" t="n">
        <v>36500</v>
      </c>
      <c r="C48" s="9" t="n">
        <v>35770</v>
      </c>
      <c r="D48" s="9" t="n">
        <v>730</v>
      </c>
      <c r="E48" s="21" t="n">
        <v>0.02040816326530612</v>
      </c>
    </row>
    <row r="49">
      <c r="A49" s="5" t="inlineStr">
        <is>
          <t>Payroll Taxes &amp; Benefits</t>
        </is>
      </c>
      <c r="B49" s="9" t="n">
        <v>28350</v>
      </c>
      <c r="C49" s="9" t="n">
        <v>27783</v>
      </c>
      <c r="D49" s="9" t="n">
        <v>567</v>
      </c>
      <c r="E49" s="21" t="n">
        <v>0.02040816326530612</v>
      </c>
    </row>
    <row r="50">
      <c r="A50" s="5" t="inlineStr">
        <is>
          <t>Rent &amp; Facilities</t>
        </is>
      </c>
      <c r="B50" s="9" t="n">
        <v>22200</v>
      </c>
      <c r="C50" s="9" t="n">
        <v>21756</v>
      </c>
      <c r="D50" s="9" t="n">
        <v>444</v>
      </c>
      <c r="E50" s="21" t="n">
        <v>0.02040816326530612</v>
      </c>
    </row>
    <row r="51">
      <c r="A51" s="5" t="inlineStr">
        <is>
          <t>Professional Fees</t>
        </is>
      </c>
      <c r="B51" s="9" t="n">
        <v>15500</v>
      </c>
      <c r="C51" s="9" t="n">
        <v>15190</v>
      </c>
      <c r="D51" s="9" t="n">
        <v>310</v>
      </c>
      <c r="E51" s="21" t="n">
        <v>0.02040816326530612</v>
      </c>
    </row>
    <row r="52">
      <c r="A52" s="5" t="inlineStr">
        <is>
          <t>Other Operating Expenses</t>
        </is>
      </c>
      <c r="B52" s="9" t="n">
        <v>13200</v>
      </c>
      <c r="C52" s="9" t="n">
        <v>12936</v>
      </c>
      <c r="D52" s="9" t="n">
        <v>264</v>
      </c>
      <c r="E52" s="21" t="n">
        <v>0.02040816326530612</v>
      </c>
    </row>
    <row r="53">
      <c r="A53" s="5" t="inlineStr">
        <is>
          <t>Interest Expense</t>
        </is>
      </c>
      <c r="B53" s="9" t="n">
        <v>11250</v>
      </c>
      <c r="C53" s="9" t="n">
        <v>11025</v>
      </c>
      <c r="D53" s="9" t="n">
        <v>225</v>
      </c>
      <c r="E53" s="21" t="n">
        <v>0.02040816326530612</v>
      </c>
    </row>
    <row r="54">
      <c r="A54" s="5" t="inlineStr">
        <is>
          <t>Depreciation &amp; Amortization</t>
        </is>
      </c>
      <c r="B54" s="9" t="n">
        <v>11000</v>
      </c>
      <c r="C54" s="9" t="n">
        <v>10780</v>
      </c>
      <c r="D54" s="9" t="n">
        <v>220</v>
      </c>
      <c r="E54" s="21" t="n">
        <v>0.02040816326530612</v>
      </c>
    </row>
    <row r="55">
      <c r="A55" s="5" t="inlineStr">
        <is>
          <t>Other Income (Expense), net</t>
        </is>
      </c>
      <c r="B55" s="9" t="n">
        <v>-1200</v>
      </c>
      <c r="C55" s="9" t="n">
        <v>-1176</v>
      </c>
      <c r="D55" s="9" t="n">
        <v>-24</v>
      </c>
      <c r="E55" s="21" t="n">
        <v>-0.02040816326530612</v>
      </c>
    </row>
    <row r="56">
      <c r="A56" s="5" t="inlineStr">
        <is>
          <t>Common Stock</t>
        </is>
      </c>
      <c r="B56" s="9" t="n">
        <v>50000</v>
      </c>
      <c r="C56" s="9" t="n">
        <v>50000</v>
      </c>
      <c r="D56" s="9" t="n">
        <v>0</v>
      </c>
      <c r="E56" s="21" t="n">
        <v>0</v>
      </c>
    </row>
    <row r="57">
      <c r="A57" s="5" t="inlineStr">
        <is>
          <t>Current Portion of Long-Term Debt</t>
        </is>
      </c>
      <c r="B57" s="9" t="n">
        <v>36000</v>
      </c>
      <c r="C57" s="9" t="n">
        <v>36000</v>
      </c>
      <c r="D57" s="9" t="n">
        <v>0</v>
      </c>
      <c r="E57" s="21" t="n">
        <v>0</v>
      </c>
    </row>
    <row r="58">
      <c r="A58" s="5" t="inlineStr">
        <is>
          <t>Other Current Assets</t>
        </is>
      </c>
      <c r="B58" s="9" t="n">
        <v>6200</v>
      </c>
      <c r="C58" s="9" t="n">
        <v>6200</v>
      </c>
      <c r="D58" s="9" t="n">
        <v>0</v>
      </c>
      <c r="E58" s="21" t="n">
        <v>0</v>
      </c>
    </row>
    <row r="59">
      <c r="A59" s="5" t="inlineStr">
        <is>
          <t>Other Current Liabilities</t>
        </is>
      </c>
      <c r="B59" s="9" t="n">
        <v>7400</v>
      </c>
      <c r="C59" s="9" t="n">
        <v>7400</v>
      </c>
      <c r="D59" s="9" t="n">
        <v>0</v>
      </c>
      <c r="E59" s="21" t="n">
        <v>0</v>
      </c>
    </row>
    <row r="60">
      <c r="A60" s="5" t="inlineStr">
        <is>
          <t>Other Noncurrent Assets</t>
        </is>
      </c>
      <c r="B60" s="9" t="n">
        <v>12000</v>
      </c>
      <c r="C60" s="9" t="n">
        <v>12000</v>
      </c>
      <c r="D60" s="9" t="n">
        <v>0</v>
      </c>
      <c r="E60" s="21" t="n">
        <v>0</v>
      </c>
    </row>
    <row r="61">
      <c r="A61" s="5" t="inlineStr">
        <is>
          <t>Other Noncurrent Liabilities</t>
        </is>
      </c>
      <c r="B61" s="9" t="n">
        <v>9600</v>
      </c>
      <c r="C61" s="9" t="n">
        <v>9600</v>
      </c>
      <c r="D61" s="9" t="n">
        <v>0</v>
      </c>
      <c r="E61" s="21" t="n">
        <v>0</v>
      </c>
    </row>
    <row r="62">
      <c r="A62" s="5" t="inlineStr">
        <is>
          <t>Prepaid Expenses</t>
        </is>
      </c>
      <c r="B62" s="9" t="n">
        <v>23400</v>
      </c>
      <c r="C62" s="9" t="n">
        <v>23400</v>
      </c>
      <c r="D62" s="9" t="n">
        <v>0</v>
      </c>
      <c r="E62" s="21" t="n">
        <v>0</v>
      </c>
    </row>
    <row r="64">
      <c r="A64" s="31" t="inlineStr">
        <is>
          <t>Key findings</t>
        </is>
      </c>
    </row>
    <row r="65" ht="30" customHeight="1">
      <c r="A65" s="35" t="inlineStr">
        <is>
          <t>•  Revenue of $849,500 was up 8.1% vs December 2025; net income of $123,800 was up 27.0%, a 14.6% net margin (+2.2pp vs December 2025).</t>
        </is>
      </c>
    </row>
    <row r="66" ht="30" customHeight="1">
      <c r="A66" s="35" t="inlineStr">
        <is>
          <t>•  Largest movers: Cash &amp; Cash Equivalents up 11.5% ($17,300).</t>
        </is>
      </c>
    </row>
    <row r="67" ht="30" customHeight="1">
      <c r="A67" s="35" t="inlineStr">
        <is>
          <t>•  Gross margin expanded to 48.0% (+0.8pp) -- COGS grew slower than revenue.</t>
        </is>
      </c>
    </row>
    <row r="68" ht="30" customHeight="1">
      <c r="A68" s="35" t="inlineStr">
        <is>
          <t>•  Liquidity is comfortable (current ratio 2.65); leverage at 1.31x debt-to-equity.</t>
        </is>
      </c>
    </row>
    <row r="69" ht="30" customHeight="1">
      <c r="A69" s="35" t="inlineStr">
        <is>
          <t>•  Quick ratio is 1.82 -- cash and receivables cover current liabilities without selling inventory.</t>
        </is>
      </c>
    </row>
    <row r="70" ht="30" customHeight="1">
      <c r="A70" s="35" t="inlineStr">
        <is>
          <t>•  Collections running at 7 days sales outstanding (on target).</t>
        </is>
      </c>
    </row>
    <row r="71" ht="30" customHeight="1">
      <c r="A71" s="35" t="inlineStr">
        <is>
          <t>•  Cash conversion cycle is 9 days (7 to collect + 9 of inventory - 7 to pay suppliers).</t>
        </is>
      </c>
    </row>
    <row r="72" ht="30" customHeight="1">
      <c r="A72" s="35" t="inlineStr">
        <is>
          <t>•  Against 2026 Budget, net income of $123,800 beat by 9.6% (budgeted $112,996).</t>
        </is>
      </c>
    </row>
    <row r="74">
      <c r="A74" s="31" t="inlineStr">
        <is>
          <t>Red flags</t>
        </is>
      </c>
    </row>
    <row r="75">
      <c r="A75" s="36" t="inlineStr">
        <is>
          <t>•  No red flags -- all clear.</t>
        </is>
      </c>
    </row>
  </sheetData>
  <mergeCells count="11">
    <mergeCell ref="A69:E69"/>
    <mergeCell ref="A65:E65"/>
    <mergeCell ref="A2:E2"/>
    <mergeCell ref="A72:E72"/>
    <mergeCell ref="A68:E68"/>
    <mergeCell ref="A71:E71"/>
    <mergeCell ref="A1:E1"/>
    <mergeCell ref="A75:E75"/>
    <mergeCell ref="A66:E66"/>
    <mergeCell ref="A70:E70"/>
    <mergeCell ref="A67:E67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tabColor rgb="001F3864"/>
    <outlinePr summaryBelow="1" summaryRight="1"/>
    <pageSetUpPr/>
  </sheetPr>
  <dimension ref="A1:C23"/>
  <sheetViews>
    <sheetView workbookViewId="0">
      <selection activeCell="A1" sqref="A1"/>
    </sheetView>
  </sheetViews>
  <sheetFormatPr baseColWidth="8" defaultRowHeight="15"/>
  <cols>
    <col width="38" customWidth="1" min="1" max="1"/>
    <col width="20" customWidth="1" min="2" max="2"/>
    <col width="14" customWidth="1" min="3" max="3"/>
  </cols>
  <sheetData>
    <row r="1" ht="24" customHeight="1">
      <c r="A1" s="1" t="inlineStr">
        <is>
          <t>Acme Foods Co. -- Income Statement</t>
        </is>
      </c>
    </row>
    <row r="2">
      <c r="A2" s="2" t="inlineStr">
        <is>
          <t>January 2026</t>
        </is>
      </c>
    </row>
    <row r="5" ht="18" customHeight="1">
      <c r="A5" s="3" t="inlineStr">
        <is>
          <t>Line</t>
        </is>
      </c>
      <c r="B5" s="3" t="inlineStr">
        <is>
          <t>Amount</t>
        </is>
      </c>
      <c r="C5" s="3" t="inlineStr">
        <is>
          <t>% of Revenue</t>
        </is>
      </c>
    </row>
    <row r="6">
      <c r="A6" s="10" t="inlineStr">
        <is>
          <t>Revenue</t>
        </is>
      </c>
      <c r="B6" s="37" t="n">
        <v>849500</v>
      </c>
      <c r="C6" s="8" t="n"/>
    </row>
    <row r="7">
      <c r="A7" s="5" t="inlineStr">
        <is>
          <t>Cost of Goods Sold</t>
        </is>
      </c>
      <c r="B7" s="9" t="n">
        <v>441500</v>
      </c>
      <c r="C7" s="8" t="n"/>
    </row>
    <row r="8">
      <c r="A8" s="10" t="inlineStr">
        <is>
          <t>Gross Profit</t>
        </is>
      </c>
      <c r="B8" s="38">
        <f>B6-B7</f>
        <v/>
      </c>
      <c r="C8" s="39">
        <f>IF(B6=0,0,B8/B6)</f>
        <v/>
      </c>
    </row>
    <row r="10">
      <c r="A10" s="5" t="inlineStr">
        <is>
          <t>Salaries &amp; Wages</t>
        </is>
      </c>
      <c r="B10" s="9" t="n">
        <v>145000</v>
      </c>
      <c r="C10" s="8" t="n"/>
    </row>
    <row r="11">
      <c r="A11" s="5" t="inlineStr">
        <is>
          <t>Payroll Taxes &amp; Benefits</t>
        </is>
      </c>
      <c r="B11" s="9" t="n">
        <v>28350</v>
      </c>
      <c r="C11" s="8" t="n"/>
    </row>
    <row r="12">
      <c r="A12" s="5" t="inlineStr">
        <is>
          <t>Rent &amp; Facilities</t>
        </is>
      </c>
      <c r="B12" s="9" t="n">
        <v>22200</v>
      </c>
      <c r="C12" s="8" t="n"/>
    </row>
    <row r="13">
      <c r="A13" s="5" t="inlineStr">
        <is>
          <t>Professional Fees</t>
        </is>
      </c>
      <c r="B13" s="9" t="n">
        <v>15500</v>
      </c>
      <c r="C13" s="8" t="n"/>
    </row>
    <row r="14">
      <c r="A14" s="5" t="inlineStr">
        <is>
          <t>Sales &amp; Marketing</t>
        </is>
      </c>
      <c r="B14" s="9" t="n">
        <v>36500</v>
      </c>
      <c r="C14" s="8" t="n"/>
    </row>
    <row r="15">
      <c r="A15" s="5" t="inlineStr">
        <is>
          <t>Depreciation &amp; Amortization</t>
        </is>
      </c>
      <c r="B15" s="9" t="n">
        <v>11000</v>
      </c>
      <c r="C15" s="8" t="n"/>
    </row>
    <row r="16">
      <c r="A16" s="5" t="inlineStr">
        <is>
          <t>Interest Expense</t>
        </is>
      </c>
      <c r="B16" s="9" t="n">
        <v>11250</v>
      </c>
      <c r="C16" s="8" t="n"/>
    </row>
    <row r="17">
      <c r="A17" s="5" t="inlineStr">
        <is>
          <t>Other Operating Expenses</t>
        </is>
      </c>
      <c r="B17" s="9" t="n">
        <v>13200</v>
      </c>
      <c r="C17" s="8" t="n"/>
    </row>
    <row r="18">
      <c r="A18" s="10" t="inlineStr">
        <is>
          <t>Total Operating Expenses</t>
        </is>
      </c>
      <c r="B18" s="38">
        <f>SUM(B10:B17)</f>
        <v/>
      </c>
      <c r="C18" s="8" t="n"/>
    </row>
    <row r="19">
      <c r="A19" s="10" t="inlineStr">
        <is>
          <t>Operating Income</t>
        </is>
      </c>
      <c r="B19" s="38">
        <f>B8-B18</f>
        <v/>
      </c>
      <c r="C19" s="39">
        <f>IF(B6=0,0,B19/B6)</f>
        <v/>
      </c>
    </row>
    <row r="21">
      <c r="A21" s="5" t="inlineStr">
        <is>
          <t>Other Income (Expense), net</t>
        </is>
      </c>
      <c r="B21" s="9" t="n">
        <v>-1200</v>
      </c>
      <c r="C21" s="8" t="n"/>
    </row>
    <row r="22">
      <c r="A22" s="10" t="inlineStr">
        <is>
          <t>Net Income</t>
        </is>
      </c>
      <c r="B22" s="38">
        <f>B19+B21</f>
        <v/>
      </c>
      <c r="C22" s="8" t="n"/>
    </row>
    <row r="23">
      <c r="A23" s="10" t="inlineStr">
        <is>
          <t>Net Profit Margin</t>
        </is>
      </c>
      <c r="B23" s="8" t="n"/>
      <c r="C23" s="20">
        <f>IF(B6=0,0,B22/B6)</f>
        <v/>
      </c>
    </row>
  </sheetData>
  <mergeCells count="2">
    <mergeCell ref="A1:C1"/>
    <mergeCell ref="A2:C2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tabColor rgb="005B7FA6"/>
    <outlinePr summaryBelow="1" summaryRight="1"/>
    <pageSetUpPr/>
  </sheetPr>
  <dimension ref="A1:D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2" customWidth="1" min="1" max="1"/>
    <col width="44" customWidth="1" min="2" max="2"/>
    <col width="18" customWidth="1" min="3" max="3"/>
    <col width="20" customWidth="1" min="4" max="4"/>
  </cols>
  <sheetData>
    <row r="1" ht="24" customHeight="1">
      <c r="A1" s="1" t="inlineStr">
        <is>
          <t>Acme Foods Co. -- Detailed P&amp;L</t>
        </is>
      </c>
    </row>
    <row r="2">
      <c r="A2" s="2" t="inlineStr">
        <is>
          <t>January 2026</t>
        </is>
      </c>
    </row>
    <row r="3" ht="18" customHeight="1">
      <c r="A3" s="3" t="inlineStr">
        <is>
          <t>Acct #</t>
        </is>
      </c>
      <c r="B3" s="3" t="inlineStr">
        <is>
          <t>Account</t>
        </is>
      </c>
      <c r="C3" s="3" t="inlineStr">
        <is>
          <t>Amount</t>
        </is>
      </c>
      <c r="D3" s="3" t="inlineStr">
        <is>
          <t>Channel</t>
        </is>
      </c>
    </row>
    <row r="4">
      <c r="A4" s="40" t="n"/>
      <c r="B4" s="41" t="inlineStr">
        <is>
          <t>Revenue</t>
        </is>
      </c>
      <c r="C4" s="40" t="n"/>
      <c r="D4" s="40" t="n"/>
    </row>
    <row r="5">
      <c r="A5" s="4" t="inlineStr">
        <is>
          <t>40000</t>
        </is>
      </c>
      <c r="B5" s="6" t="inlineStr">
        <is>
          <t>Product Sales -- Wholesale</t>
        </is>
      </c>
      <c r="C5" s="9" t="n">
        <v>520000</v>
      </c>
      <c r="D5" s="6" t="inlineStr">
        <is>
          <t>Wholesale</t>
        </is>
      </c>
    </row>
    <row r="6">
      <c r="A6" s="4" t="inlineStr">
        <is>
          <t>40100</t>
        </is>
      </c>
      <c r="B6" s="6" t="inlineStr">
        <is>
          <t>Product Sales -- DTC</t>
        </is>
      </c>
      <c r="C6" s="9" t="n">
        <v>210000</v>
      </c>
      <c r="D6" s="6" t="inlineStr">
        <is>
          <t>DTC</t>
        </is>
      </c>
    </row>
    <row r="7">
      <c r="A7" s="4" t="inlineStr">
        <is>
          <t>40200</t>
        </is>
      </c>
      <c r="B7" s="6" t="inlineStr">
        <is>
          <t>Product Sales -- Foodservice</t>
        </is>
      </c>
      <c r="C7" s="9" t="n">
        <v>95000</v>
      </c>
      <c r="D7" s="6" t="inlineStr">
        <is>
          <t>Foodservice</t>
        </is>
      </c>
    </row>
    <row r="8">
      <c r="A8" s="4" t="inlineStr">
        <is>
          <t>40300</t>
        </is>
      </c>
      <c r="B8" s="6" t="inlineStr">
        <is>
          <t>Shipping Income</t>
        </is>
      </c>
      <c r="C8" s="9" t="n">
        <v>18000</v>
      </c>
      <c r="D8" s="6" t="inlineStr">
        <is>
          <t>DTC</t>
        </is>
      </c>
    </row>
    <row r="9">
      <c r="A9" s="4" t="inlineStr">
        <is>
          <t>40400</t>
        </is>
      </c>
      <c r="B9" s="6" t="inlineStr">
        <is>
          <t>Other Revenue</t>
        </is>
      </c>
      <c r="C9" s="9" t="n">
        <v>6500</v>
      </c>
      <c r="D9" s="6" t="inlineStr"/>
    </row>
    <row r="10">
      <c r="A10" s="8" t="n"/>
      <c r="B10" s="42" t="inlineStr">
        <is>
          <t>Total -- Revenue</t>
        </is>
      </c>
      <c r="C10" s="37">
        <f>SUM(C5:C9)</f>
        <v/>
      </c>
      <c r="D10" s="8" t="n"/>
    </row>
    <row r="12">
      <c r="A12" s="40" t="n"/>
      <c r="B12" s="41" t="inlineStr">
        <is>
          <t>Cost of Goods Sold</t>
        </is>
      </c>
      <c r="C12" s="40" t="n"/>
      <c r="D12" s="40" t="n"/>
    </row>
    <row r="13">
      <c r="A13" s="4" t="inlineStr">
        <is>
          <t>50000</t>
        </is>
      </c>
      <c r="B13" s="6" t="inlineStr">
        <is>
          <t>Raw Materials</t>
        </is>
      </c>
      <c r="C13" s="9" t="n">
        <v>310000</v>
      </c>
      <c r="D13" s="6" t="inlineStr">
        <is>
          <t>Wholesale</t>
        </is>
      </c>
    </row>
    <row r="14">
      <c r="A14" s="4" t="inlineStr">
        <is>
          <t>50100</t>
        </is>
      </c>
      <c r="B14" s="6" t="inlineStr">
        <is>
          <t>Co-Man Production Fees</t>
        </is>
      </c>
      <c r="C14" s="9" t="n">
        <v>88000</v>
      </c>
      <c r="D14" s="6" t="inlineStr">
        <is>
          <t>Wholesale</t>
        </is>
      </c>
    </row>
    <row r="15">
      <c r="A15" s="4" t="inlineStr">
        <is>
          <t>50200</t>
        </is>
      </c>
      <c r="B15" s="6" t="inlineStr">
        <is>
          <t>Freight In</t>
        </is>
      </c>
      <c r="C15" s="9" t="n">
        <v>24500</v>
      </c>
      <c r="D15" s="6" t="inlineStr">
        <is>
          <t>Foodservice</t>
        </is>
      </c>
    </row>
    <row r="16">
      <c r="A16" s="4" t="inlineStr">
        <is>
          <t>50300</t>
        </is>
      </c>
      <c r="B16" s="6" t="inlineStr">
        <is>
          <t>Packaging</t>
        </is>
      </c>
      <c r="C16" s="9" t="n">
        <v>19000</v>
      </c>
      <c r="D16" s="6" t="inlineStr">
        <is>
          <t>DTC</t>
        </is>
      </c>
    </row>
    <row r="17">
      <c r="A17" s="8" t="n"/>
      <c r="B17" s="42" t="inlineStr">
        <is>
          <t>Total -- Cost of Goods Sold</t>
        </is>
      </c>
      <c r="C17" s="37">
        <f>SUM(C13:C16)</f>
        <v/>
      </c>
      <c r="D17" s="8" t="n"/>
    </row>
    <row r="19">
      <c r="A19" s="40" t="n"/>
      <c r="B19" s="41" t="inlineStr">
        <is>
          <t>Salaries &amp; Wages</t>
        </is>
      </c>
      <c r="C19" s="40" t="n"/>
      <c r="D19" s="40" t="n"/>
    </row>
    <row r="20">
      <c r="A20" s="4" t="inlineStr">
        <is>
          <t>60000</t>
        </is>
      </c>
      <c r="B20" s="6" t="inlineStr">
        <is>
          <t>Salaries &amp; Wages</t>
        </is>
      </c>
      <c r="C20" s="9" t="n">
        <v>145000</v>
      </c>
      <c r="D20" s="6" t="inlineStr">
        <is>
          <t>Overhead</t>
        </is>
      </c>
    </row>
    <row r="21">
      <c r="A21" s="8" t="n"/>
      <c r="B21" s="42" t="inlineStr">
        <is>
          <t>Total -- Salaries &amp; Wages</t>
        </is>
      </c>
      <c r="C21" s="37">
        <f>SUM(C20:C20)</f>
        <v/>
      </c>
      <c r="D21" s="8" t="n"/>
    </row>
    <row r="23">
      <c r="A23" s="40" t="n"/>
      <c r="B23" s="41" t="inlineStr">
        <is>
          <t>Payroll Taxes &amp; Benefits</t>
        </is>
      </c>
      <c r="C23" s="40" t="n"/>
      <c r="D23" s="40" t="n"/>
    </row>
    <row r="24">
      <c r="A24" s="4" t="inlineStr">
        <is>
          <t>60100</t>
        </is>
      </c>
      <c r="B24" s="6" t="inlineStr">
        <is>
          <t>Payroll Taxes</t>
        </is>
      </c>
      <c r="C24" s="9" t="n">
        <v>15950</v>
      </c>
      <c r="D24" s="6" t="inlineStr">
        <is>
          <t>Overhead</t>
        </is>
      </c>
    </row>
    <row r="25">
      <c r="A25" s="4" t="inlineStr">
        <is>
          <t>60200</t>
        </is>
      </c>
      <c r="B25" s="6" t="inlineStr">
        <is>
          <t>Employee Benefits</t>
        </is>
      </c>
      <c r="C25" s="9" t="n">
        <v>12400</v>
      </c>
      <c r="D25" s="6" t="inlineStr">
        <is>
          <t>Overhead</t>
        </is>
      </c>
    </row>
    <row r="26">
      <c r="A26" s="8" t="n"/>
      <c r="B26" s="42" t="inlineStr">
        <is>
          <t>Total -- Payroll Taxes &amp; Benefits</t>
        </is>
      </c>
      <c r="C26" s="37">
        <f>SUM(C24:C25)</f>
        <v/>
      </c>
      <c r="D26" s="8" t="n"/>
    </row>
    <row r="28">
      <c r="A28" s="40" t="n"/>
      <c r="B28" s="41" t="inlineStr">
        <is>
          <t>Rent &amp; Facilities</t>
        </is>
      </c>
      <c r="C28" s="40" t="n"/>
      <c r="D28" s="40" t="n"/>
    </row>
    <row r="29">
      <c r="A29" s="4" t="inlineStr">
        <is>
          <t>61000</t>
        </is>
      </c>
      <c r="B29" s="6" t="inlineStr">
        <is>
          <t>Rent</t>
        </is>
      </c>
      <c r="C29" s="9" t="n">
        <v>18000</v>
      </c>
      <c r="D29" s="6" t="inlineStr">
        <is>
          <t>Overhead</t>
        </is>
      </c>
    </row>
    <row r="30">
      <c r="A30" s="4" t="inlineStr">
        <is>
          <t>61100</t>
        </is>
      </c>
      <c r="B30" s="6" t="inlineStr">
        <is>
          <t>Utilities</t>
        </is>
      </c>
      <c r="C30" s="9" t="n">
        <v>4200</v>
      </c>
      <c r="D30" s="6" t="inlineStr">
        <is>
          <t>Overhead</t>
        </is>
      </c>
    </row>
    <row r="31">
      <c r="A31" s="8" t="n"/>
      <c r="B31" s="42" t="inlineStr">
        <is>
          <t>Total -- Rent &amp; Facilities</t>
        </is>
      </c>
      <c r="C31" s="37">
        <f>SUM(C29:C30)</f>
        <v/>
      </c>
      <c r="D31" s="8" t="n"/>
    </row>
    <row r="33">
      <c r="A33" s="40" t="n"/>
      <c r="B33" s="41" t="inlineStr">
        <is>
          <t>Professional Fees</t>
        </is>
      </c>
      <c r="C33" s="40" t="n"/>
      <c r="D33" s="40" t="n"/>
    </row>
    <row r="34">
      <c r="A34" s="4" t="inlineStr">
        <is>
          <t>62000</t>
        </is>
      </c>
      <c r="B34" s="6" t="inlineStr">
        <is>
          <t>Accounting &amp; Legal</t>
        </is>
      </c>
      <c r="C34" s="9" t="n">
        <v>9500</v>
      </c>
      <c r="D34" s="6" t="inlineStr">
        <is>
          <t>Overhead</t>
        </is>
      </c>
    </row>
    <row r="35">
      <c r="A35" s="4" t="inlineStr">
        <is>
          <t>62100</t>
        </is>
      </c>
      <c r="B35" s="6" t="inlineStr">
        <is>
          <t>Consulting</t>
        </is>
      </c>
      <c r="C35" s="9" t="n">
        <v>6000</v>
      </c>
      <c r="D35" s="6" t="inlineStr">
        <is>
          <t>Overhead</t>
        </is>
      </c>
    </row>
    <row r="36">
      <c r="A36" s="8" t="n"/>
      <c r="B36" s="42" t="inlineStr">
        <is>
          <t>Total -- Professional Fees</t>
        </is>
      </c>
      <c r="C36" s="37">
        <f>SUM(C34:C35)</f>
        <v/>
      </c>
      <c r="D36" s="8" t="n"/>
    </row>
    <row r="38">
      <c r="A38" s="40" t="n"/>
      <c r="B38" s="41" t="inlineStr">
        <is>
          <t>Sales &amp; Marketing</t>
        </is>
      </c>
      <c r="C38" s="40" t="n"/>
      <c r="D38" s="40" t="n"/>
    </row>
    <row r="39">
      <c r="A39" s="4" t="inlineStr">
        <is>
          <t>63000</t>
        </is>
      </c>
      <c r="B39" s="6" t="inlineStr">
        <is>
          <t>Advertising &amp; Marketing</t>
        </is>
      </c>
      <c r="C39" s="9" t="n">
        <v>22000</v>
      </c>
      <c r="D39" s="6" t="inlineStr">
        <is>
          <t>DTC</t>
        </is>
      </c>
    </row>
    <row r="40">
      <c r="A40" s="4" t="inlineStr">
        <is>
          <t>63100</t>
        </is>
      </c>
      <c r="B40" s="6" t="inlineStr">
        <is>
          <t>Trade Spend</t>
        </is>
      </c>
      <c r="C40" s="9" t="n">
        <v>14500</v>
      </c>
      <c r="D40" s="6" t="inlineStr">
        <is>
          <t>Wholesale</t>
        </is>
      </c>
    </row>
    <row r="41">
      <c r="A41" s="8" t="n"/>
      <c r="B41" s="42" t="inlineStr">
        <is>
          <t>Total -- Sales &amp; Marketing</t>
        </is>
      </c>
      <c r="C41" s="37">
        <f>SUM(C39:C40)</f>
        <v/>
      </c>
      <c r="D41" s="8" t="n"/>
    </row>
    <row r="43">
      <c r="A43" s="40" t="n"/>
      <c r="B43" s="41" t="inlineStr">
        <is>
          <t>Depreciation &amp; Amortization</t>
        </is>
      </c>
      <c r="C43" s="40" t="n"/>
      <c r="D43" s="40" t="n"/>
    </row>
    <row r="44">
      <c r="A44" s="4" t="inlineStr">
        <is>
          <t>64000</t>
        </is>
      </c>
      <c r="B44" s="6" t="inlineStr">
        <is>
          <t>Depreciation Expense</t>
        </is>
      </c>
      <c r="C44" s="9" t="n">
        <v>7800</v>
      </c>
      <c r="D44" s="6" t="inlineStr">
        <is>
          <t>Overhead</t>
        </is>
      </c>
    </row>
    <row r="45">
      <c r="A45" s="4" t="inlineStr">
        <is>
          <t>64100</t>
        </is>
      </c>
      <c r="B45" s="6" t="inlineStr">
        <is>
          <t>Amortization Expense</t>
        </is>
      </c>
      <c r="C45" s="9" t="n">
        <v>3200</v>
      </c>
      <c r="D45" s="6" t="inlineStr">
        <is>
          <t>Overhead</t>
        </is>
      </c>
    </row>
    <row r="46">
      <c r="A46" s="8" t="n"/>
      <c r="B46" s="42" t="inlineStr">
        <is>
          <t>Total -- Depreciation &amp; Amortization</t>
        </is>
      </c>
      <c r="C46" s="37">
        <f>SUM(C44:C45)</f>
        <v/>
      </c>
      <c r="D46" s="8" t="n"/>
    </row>
    <row r="48">
      <c r="A48" s="40" t="n"/>
      <c r="B48" s="41" t="inlineStr">
        <is>
          <t>Interest Expense</t>
        </is>
      </c>
      <c r="C48" s="40" t="n"/>
      <c r="D48" s="40" t="n"/>
    </row>
    <row r="49">
      <c r="A49" s="4" t="inlineStr">
        <is>
          <t>69500</t>
        </is>
      </c>
      <c r="B49" s="6" t="inlineStr">
        <is>
          <t>Interest Expense</t>
        </is>
      </c>
      <c r="C49" s="9" t="n">
        <v>11250</v>
      </c>
      <c r="D49" s="6" t="inlineStr">
        <is>
          <t>Overhead</t>
        </is>
      </c>
    </row>
    <row r="50">
      <c r="A50" s="8" t="n"/>
      <c r="B50" s="42" t="inlineStr">
        <is>
          <t>Total -- Interest Expense</t>
        </is>
      </c>
      <c r="C50" s="37">
        <f>SUM(C49:C49)</f>
        <v/>
      </c>
      <c r="D50" s="8" t="n"/>
    </row>
    <row r="52">
      <c r="A52" s="40" t="n"/>
      <c r="B52" s="41" t="inlineStr">
        <is>
          <t>Other Operating Expenses</t>
        </is>
      </c>
      <c r="C52" s="40" t="n"/>
      <c r="D52" s="40" t="n"/>
    </row>
    <row r="53">
      <c r="A53" s="4" t="inlineStr">
        <is>
          <t>66000</t>
        </is>
      </c>
      <c r="B53" s="6" t="inlineStr">
        <is>
          <t>Insurance</t>
        </is>
      </c>
      <c r="C53" s="9" t="n">
        <v>3600</v>
      </c>
      <c r="D53" s="6" t="inlineStr">
        <is>
          <t>Overhead</t>
        </is>
      </c>
    </row>
    <row r="54">
      <c r="A54" s="4" t="inlineStr">
        <is>
          <t>66100</t>
        </is>
      </c>
      <c r="B54" s="6" t="inlineStr">
        <is>
          <t>Office Supplies</t>
        </is>
      </c>
      <c r="C54" s="9" t="n">
        <v>2800</v>
      </c>
      <c r="D54" s="6" t="inlineStr">
        <is>
          <t>Overhead</t>
        </is>
      </c>
    </row>
    <row r="55">
      <c r="A55" s="4" t="inlineStr">
        <is>
          <t>66200</t>
        </is>
      </c>
      <c r="B55" s="6" t="inlineStr">
        <is>
          <t>Travel &amp; Entertainment</t>
        </is>
      </c>
      <c r="C55" s="9" t="n">
        <v>4100</v>
      </c>
      <c r="D55" s="6" t="inlineStr">
        <is>
          <t>Overhead</t>
        </is>
      </c>
    </row>
    <row r="56">
      <c r="A56" s="4" t="inlineStr">
        <is>
          <t>66300</t>
        </is>
      </c>
      <c r="B56" s="6" t="inlineStr">
        <is>
          <t>Bank Charges</t>
        </is>
      </c>
      <c r="C56" s="9" t="n">
        <v>950</v>
      </c>
      <c r="D56" s="6" t="inlineStr">
        <is>
          <t>Overhead</t>
        </is>
      </c>
    </row>
    <row r="57">
      <c r="A57" s="4" t="inlineStr">
        <is>
          <t>66400</t>
        </is>
      </c>
      <c r="B57" s="6" t="inlineStr">
        <is>
          <t>Miscellaneous</t>
        </is>
      </c>
      <c r="C57" s="9" t="n">
        <v>1750</v>
      </c>
      <c r="D57" s="6" t="inlineStr"/>
    </row>
    <row r="58">
      <c r="A58" s="8" t="n"/>
      <c r="B58" s="42" t="inlineStr">
        <is>
          <t>Total -- Other Operating Expenses</t>
        </is>
      </c>
      <c r="C58" s="37">
        <f>SUM(C53:C57)</f>
        <v/>
      </c>
      <c r="D58" s="8" t="n"/>
    </row>
    <row r="60">
      <c r="A60" s="40" t="n"/>
      <c r="B60" s="41" t="inlineStr">
        <is>
          <t>Other Income (Expense), net</t>
        </is>
      </c>
      <c r="C60" s="40" t="n"/>
      <c r="D60" s="40" t="n"/>
    </row>
    <row r="61">
      <c r="A61" s="4" t="inlineStr">
        <is>
          <t>70000</t>
        </is>
      </c>
      <c r="B61" s="6" t="inlineStr">
        <is>
          <t>Interest Income</t>
        </is>
      </c>
      <c r="C61" s="9" t="n">
        <v>1200</v>
      </c>
      <c r="D61" s="6" t="inlineStr"/>
    </row>
    <row r="62">
      <c r="A62" s="4" t="inlineStr">
        <is>
          <t>70100</t>
        </is>
      </c>
      <c r="B62" s="6" t="inlineStr">
        <is>
          <t>Gain on Sale of Assets</t>
        </is>
      </c>
      <c r="C62" s="9" t="n">
        <v>2500</v>
      </c>
      <c r="D62" s="6" t="inlineStr"/>
    </row>
    <row r="63">
      <c r="A63" s="4" t="inlineStr">
        <is>
          <t>71000</t>
        </is>
      </c>
      <c r="B63" s="6" t="inlineStr">
        <is>
          <t>Other Expense</t>
        </is>
      </c>
      <c r="C63" s="9" t="n">
        <v>-4900</v>
      </c>
      <c r="D63" s="6" t="inlineStr"/>
    </row>
    <row r="64">
      <c r="A64" s="8" t="n"/>
      <c r="B64" s="42" t="inlineStr">
        <is>
          <t>Total -- Other Income (Expense), net</t>
        </is>
      </c>
      <c r="C64" s="37">
        <f>SUM(C61:C63)</f>
        <v/>
      </c>
      <c r="D64" s="8" t="n"/>
    </row>
  </sheetData>
  <mergeCells count="2">
    <mergeCell ref="A1:D1"/>
    <mergeCell ref="A2:D2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tabColor rgb="001F3864"/>
    <outlinePr summaryBelow="1" summaryRight="1"/>
    <pageSetUpPr/>
  </sheetPr>
  <dimension ref="A1:C31"/>
  <sheetViews>
    <sheetView workbookViewId="0">
      <selection activeCell="A1" sqref="A1"/>
    </sheetView>
  </sheetViews>
  <sheetFormatPr baseColWidth="8" defaultRowHeight="15"/>
  <cols>
    <col width="38" customWidth="1" min="1" max="1"/>
    <col width="20" customWidth="1" min="2" max="2"/>
    <col width="20" customWidth="1" min="3" max="3"/>
  </cols>
  <sheetData>
    <row r="1" ht="24" customHeight="1">
      <c r="A1" s="1" t="inlineStr">
        <is>
          <t>Acme Foods Co. -- Balance Sheet</t>
        </is>
      </c>
    </row>
    <row r="2">
      <c r="A2" s="2" t="inlineStr">
        <is>
          <t>January 2026</t>
        </is>
      </c>
    </row>
    <row r="4">
      <c r="A4" s="31" t="inlineStr">
        <is>
          <t>ASSETS</t>
        </is>
      </c>
    </row>
    <row r="5" ht="18" customHeight="1">
      <c r="A5" s="3" t="inlineStr">
        <is>
          <t>Line</t>
        </is>
      </c>
      <c r="B5" s="3" t="inlineStr">
        <is>
          <t>Current Period</t>
        </is>
      </c>
      <c r="C5" s="3" t="inlineStr">
        <is>
          <t>Prior Period</t>
        </is>
      </c>
    </row>
    <row r="6">
      <c r="A6" s="5" t="inlineStr">
        <is>
          <t>Cash &amp; Cash Equivalents</t>
        </is>
      </c>
      <c r="B6" s="9" t="n">
        <v>167300</v>
      </c>
      <c r="C6" s="43" t="n">
        <v>150000</v>
      </c>
    </row>
    <row r="7">
      <c r="A7" s="5" t="inlineStr">
        <is>
          <t>Accounts Receivable</t>
        </is>
      </c>
      <c r="B7" s="9" t="n">
        <v>186400</v>
      </c>
      <c r="C7" s="43" t="n">
        <v>172000</v>
      </c>
    </row>
    <row r="8">
      <c r="A8" s="5" t="inlineStr">
        <is>
          <t>Inventory</t>
        </is>
      </c>
      <c r="B8" s="9" t="n">
        <v>132500</v>
      </c>
      <c r="C8" s="43" t="n">
        <v>123000</v>
      </c>
    </row>
    <row r="9">
      <c r="A9" s="5" t="inlineStr">
        <is>
          <t>Prepaid Expenses</t>
        </is>
      </c>
      <c r="B9" s="9" t="n">
        <v>23400</v>
      </c>
      <c r="C9" s="43" t="n">
        <v>22000</v>
      </c>
    </row>
    <row r="10">
      <c r="A10" s="5" t="inlineStr">
        <is>
          <t>Other Current Assets</t>
        </is>
      </c>
      <c r="B10" s="9" t="n">
        <v>6200</v>
      </c>
      <c r="C10" s="43" t="n">
        <v>6000</v>
      </c>
    </row>
    <row r="11">
      <c r="A11" s="5" t="inlineStr">
        <is>
          <t>Total Current Assets</t>
        </is>
      </c>
      <c r="B11" s="38">
        <f>SUM(B6:B10)</f>
        <v/>
      </c>
      <c r="C11" s="43">
        <f>SUM(C6:C10)</f>
        <v/>
      </c>
    </row>
    <row r="12">
      <c r="A12" s="5" t="inlineStr">
        <is>
          <t>Property &amp; Equipment, net</t>
        </is>
      </c>
      <c r="B12" s="9" t="n">
        <v>158700</v>
      </c>
      <c r="C12" s="43" t="n">
        <v>166500</v>
      </c>
    </row>
    <row r="13">
      <c r="A13" s="5" t="inlineStr">
        <is>
          <t>Other Noncurrent Assets</t>
        </is>
      </c>
      <c r="B13" s="9" t="n">
        <v>12000</v>
      </c>
      <c r="C13" s="43" t="n">
        <v>12000</v>
      </c>
    </row>
    <row r="14">
      <c r="A14" s="5" t="inlineStr">
        <is>
          <t>TOTAL ASSETS</t>
        </is>
      </c>
      <c r="B14" s="38">
        <f>B11+B12+B13</f>
        <v/>
      </c>
      <c r="C14" s="43">
        <f>C11+C12+C13</f>
        <v/>
      </c>
    </row>
    <row r="15">
      <c r="A15" s="31" t="inlineStr">
        <is>
          <t>LIABILITIES</t>
        </is>
      </c>
    </row>
    <row r="16">
      <c r="A16" s="5" t="inlineStr">
        <is>
          <t>Accounts Payable</t>
        </is>
      </c>
      <c r="B16" s="9" t="n">
        <v>98700</v>
      </c>
      <c r="C16" s="43" t="n">
        <v>91200</v>
      </c>
    </row>
    <row r="17">
      <c r="A17" s="5" t="inlineStr">
        <is>
          <t>Accrued Expenses</t>
        </is>
      </c>
      <c r="B17" s="9" t="n">
        <v>34300</v>
      </c>
      <c r="C17" s="43" t="n">
        <v>32600</v>
      </c>
    </row>
    <row r="18">
      <c r="A18" s="5" t="inlineStr">
        <is>
          <t>Deferred Revenue</t>
        </is>
      </c>
      <c r="B18" s="9" t="n">
        <v>18000</v>
      </c>
      <c r="C18" s="43" t="n">
        <v>16500</v>
      </c>
    </row>
    <row r="19">
      <c r="A19" s="5" t="inlineStr">
        <is>
          <t>Current Portion of Long-Term Debt</t>
        </is>
      </c>
      <c r="B19" s="9" t="n">
        <v>36000</v>
      </c>
      <c r="C19" s="43" t="n">
        <v>36000</v>
      </c>
    </row>
    <row r="20">
      <c r="A20" s="5" t="inlineStr">
        <is>
          <t>Other Current Liabilities</t>
        </is>
      </c>
      <c r="B20" s="9" t="n">
        <v>7400</v>
      </c>
      <c r="C20" s="43" t="n">
        <v>7100</v>
      </c>
    </row>
    <row r="21">
      <c r="A21" s="5" t="inlineStr">
        <is>
          <t>Total Current Liabilities</t>
        </is>
      </c>
      <c r="B21" s="38">
        <f>SUM(B16:B20)</f>
        <v/>
      </c>
      <c r="C21" s="43">
        <f>SUM(C16:C20)</f>
        <v/>
      </c>
    </row>
    <row r="22">
      <c r="A22" s="5" t="inlineStr">
        <is>
          <t>Long-Term Debt</t>
        </is>
      </c>
      <c r="B22" s="9" t="n">
        <v>185000</v>
      </c>
      <c r="C22" s="43" t="n">
        <v>195000</v>
      </c>
    </row>
    <row r="23">
      <c r="A23" s="5" t="inlineStr">
        <is>
          <t>Other Noncurrent Liabilities</t>
        </is>
      </c>
      <c r="B23" s="9" t="n">
        <v>9600</v>
      </c>
      <c r="C23" s="43" t="n">
        <v>9600</v>
      </c>
    </row>
    <row r="24">
      <c r="A24" s="5" t="inlineStr">
        <is>
          <t>TOTAL LIABILITIES</t>
        </is>
      </c>
      <c r="B24" s="38">
        <f>B21+B22+B23</f>
        <v/>
      </c>
      <c r="C24" s="43">
        <f>C21+C22+C23</f>
        <v/>
      </c>
    </row>
    <row r="25">
      <c r="A25" s="31" t="inlineStr">
        <is>
          <t>EQUITY</t>
        </is>
      </c>
    </row>
    <row r="26">
      <c r="A26" s="5" t="inlineStr">
        <is>
          <t>Common Stock</t>
        </is>
      </c>
      <c r="B26" s="9" t="n">
        <v>50000</v>
      </c>
      <c r="C26" s="43" t="n">
        <v>50000</v>
      </c>
    </row>
    <row r="27">
      <c r="A27" s="5" t="inlineStr">
        <is>
          <t>Retained Earnings, Beginning</t>
        </is>
      </c>
      <c r="B27" s="9" t="n">
        <v>123700</v>
      </c>
      <c r="C27" s="43" t="n">
        <v>116020</v>
      </c>
    </row>
    <row r="28">
      <c r="A28" s="5" t="inlineStr">
        <is>
          <t>Net Income (from P&amp;L)</t>
        </is>
      </c>
      <c r="B28" s="9">
        <f>'P&amp;L'!B22</f>
        <v/>
      </c>
      <c r="C28" s="4" t="inlineStr">
        <is>
          <t>N/A</t>
        </is>
      </c>
    </row>
    <row r="29">
      <c r="A29" s="5" t="inlineStr">
        <is>
          <t>TOTAL EQUITY</t>
        </is>
      </c>
      <c r="B29" s="38">
        <f>SUM(B26:B28)</f>
        <v/>
      </c>
      <c r="C29" s="43" t="n"/>
    </row>
    <row r="30">
      <c r="A30" s="5" t="inlineStr">
        <is>
          <t>TOTAL LIABILITIES &amp; EQUITY</t>
        </is>
      </c>
      <c r="B30" s="38">
        <f>B24+B29</f>
        <v/>
      </c>
      <c r="C30" s="43" t="n"/>
    </row>
    <row r="31">
      <c r="A31" s="5" t="inlineStr">
        <is>
          <t>Balance Check (should be 0)</t>
        </is>
      </c>
      <c r="B31" s="44">
        <f>B14-B30</f>
        <v/>
      </c>
      <c r="C31" s="8" t="n"/>
    </row>
  </sheetData>
  <mergeCells count="2">
    <mergeCell ref="A1:C1"/>
    <mergeCell ref="A2:C2"/>
  </mergeCells>
  <conditionalFormatting sqref="B31">
    <cfRule type="cellIs" priority="1" operator="notEqual" dxfId="4">
      <formula>0</formula>
    </cfRule>
  </conditionalFormatting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tabColor rgb="005B7FA6"/>
    <outlinePr summaryBelow="1" summaryRight="1"/>
    <pageSetUpPr/>
  </sheetPr>
  <dimension ref="A1:B29"/>
  <sheetViews>
    <sheetView workbookViewId="0">
      <selection activeCell="A1" sqref="A1"/>
    </sheetView>
  </sheetViews>
  <sheetFormatPr baseColWidth="8" defaultRowHeight="15"/>
  <cols>
    <col width="52" customWidth="1" min="1" max="1"/>
    <col width="22" customWidth="1" min="2" max="2"/>
  </cols>
  <sheetData>
    <row r="1" ht="24" customHeight="1">
      <c r="A1" s="1" t="inlineStr">
        <is>
          <t>Acme Foods Co. -- Statement of Cash Flows (Indirect Method)</t>
        </is>
      </c>
    </row>
    <row r="2">
      <c r="A2" s="2" t="inlineStr">
        <is>
          <t>January 2026</t>
        </is>
      </c>
    </row>
    <row r="4" ht="18" customHeight="1">
      <c r="A4" s="3" t="inlineStr">
        <is>
          <t>Line</t>
        </is>
      </c>
      <c r="B4" s="3" t="inlineStr">
        <is>
          <t>Amount</t>
        </is>
      </c>
    </row>
    <row r="5">
      <c r="A5" s="31" t="inlineStr">
        <is>
          <t>Cash flows from operating activities</t>
        </is>
      </c>
    </row>
    <row r="6">
      <c r="A6" s="5" t="inlineStr">
        <is>
          <t>Net income</t>
        </is>
      </c>
      <c r="B6" s="9">
        <f>'P&amp;L'!B22</f>
        <v/>
      </c>
    </row>
    <row r="7">
      <c r="A7" s="5" t="inlineStr">
        <is>
          <t>Depreciation &amp; amortization</t>
        </is>
      </c>
      <c r="B7" s="9">
        <f>'P&amp;L'!B15</f>
        <v/>
      </c>
    </row>
    <row r="8">
      <c r="A8" s="5" t="inlineStr">
        <is>
          <t>(Increase) decrease in accounts receivable</t>
        </is>
      </c>
      <c r="B8" s="9">
        <f>IF('Balance Sheet'!C7="N/A","N/A",-('Balance Sheet'!B7-'Balance Sheet'!C7))</f>
        <v/>
      </c>
    </row>
    <row r="9">
      <c r="A9" s="5" t="inlineStr">
        <is>
          <t>(Increase) decrease in inventory</t>
        </is>
      </c>
      <c r="B9" s="9">
        <f>IF('Balance Sheet'!C8="N/A","N/A",-('Balance Sheet'!B8-'Balance Sheet'!C8))</f>
        <v/>
      </c>
    </row>
    <row r="10">
      <c r="A10" s="5" t="inlineStr">
        <is>
          <t>(Increase) decrease in prepaid expenses</t>
        </is>
      </c>
      <c r="B10" s="9">
        <f>IF('Balance Sheet'!C9="N/A","N/A",-('Balance Sheet'!B9-'Balance Sheet'!C9))</f>
        <v/>
      </c>
    </row>
    <row r="11">
      <c r="A11" s="5" t="inlineStr">
        <is>
          <t>(Increase) decrease in other current assets</t>
        </is>
      </c>
      <c r="B11" s="9">
        <f>IF('Balance Sheet'!C10="N/A","N/A",-('Balance Sheet'!B10-'Balance Sheet'!C10))</f>
        <v/>
      </c>
    </row>
    <row r="12">
      <c r="A12" s="5" t="inlineStr">
        <is>
          <t>Increase (decrease) in accounts payable</t>
        </is>
      </c>
      <c r="B12" s="9">
        <f>IF('Balance Sheet'!C16="N/A","N/A",('Balance Sheet'!B16-'Balance Sheet'!C16))</f>
        <v/>
      </c>
    </row>
    <row r="13">
      <c r="A13" s="5" t="inlineStr">
        <is>
          <t>Increase (decrease) in accrued expenses</t>
        </is>
      </c>
      <c r="B13" s="9">
        <f>IF('Balance Sheet'!C17="N/A","N/A",('Balance Sheet'!B17-'Balance Sheet'!C17))</f>
        <v/>
      </c>
    </row>
    <row r="14">
      <c r="A14" s="5" t="inlineStr">
        <is>
          <t>Increase (decrease) in deferred revenue</t>
        </is>
      </c>
      <c r="B14" s="9">
        <f>IF('Balance Sheet'!C18="N/A","N/A",('Balance Sheet'!B18-'Balance Sheet'!C18))</f>
        <v/>
      </c>
    </row>
    <row r="15">
      <c r="A15" s="5" t="inlineStr">
        <is>
          <t>Increase (decrease) in other current liabilities</t>
        </is>
      </c>
      <c r="B15" s="9">
        <f>IF('Balance Sheet'!C20="N/A","N/A",('Balance Sheet'!B20-'Balance Sheet'!C20))</f>
        <v/>
      </c>
    </row>
    <row r="16">
      <c r="A16" s="10" t="inlineStr">
        <is>
          <t>Net cash provided by operating activities</t>
        </is>
      </c>
      <c r="B16" s="37">
        <f>SUM(B6:B15)</f>
        <v/>
      </c>
    </row>
    <row r="18">
      <c r="A18" s="31" t="inlineStr">
        <is>
          <t>Cash flows from investing activities</t>
        </is>
      </c>
    </row>
    <row r="19">
      <c r="A19" s="5" t="inlineStr">
        <is>
          <t>Purchases of property &amp; equipment</t>
        </is>
      </c>
      <c r="B19" s="9">
        <f>-(('Balance Sheet'!B12-'Balance Sheet'!C12)+'P&amp;L'!B15)</f>
        <v/>
      </c>
    </row>
    <row r="20">
      <c r="A20" s="10" t="inlineStr">
        <is>
          <t>Net cash used in investing activities</t>
        </is>
      </c>
      <c r="B20" s="37">
        <f>SUM(B19:B19)</f>
        <v/>
      </c>
    </row>
    <row r="22">
      <c r="A22" s="31" t="inlineStr">
        <is>
          <t>Cash flows from financing activities</t>
        </is>
      </c>
    </row>
    <row r="23">
      <c r="A23" s="5" t="inlineStr">
        <is>
          <t>Proceeds (repayments) of debt, net</t>
        </is>
      </c>
      <c r="B23" s="9">
        <f>('Balance Sheet'!B19-'Balance Sheet'!C19)+('Balance Sheet'!B22-'Balance Sheet'!C22)</f>
        <v/>
      </c>
    </row>
    <row r="24">
      <c r="A24" s="10" t="inlineStr">
        <is>
          <t>Net cash provided by financing activities</t>
        </is>
      </c>
      <c r="B24" s="37">
        <f>SUM(B23:B23)</f>
        <v/>
      </c>
    </row>
    <row r="26">
      <c r="A26" s="10" t="inlineStr">
        <is>
          <t>Net change in cash</t>
        </is>
      </c>
      <c r="B26" s="44">
        <f>B16+B20+B24</f>
        <v/>
      </c>
    </row>
    <row r="27">
      <c r="A27" s="5" t="inlineStr">
        <is>
          <t>Cash, beginning of period</t>
        </is>
      </c>
      <c r="B27" s="9">
        <f>'Balance Sheet'!C6</f>
        <v/>
      </c>
    </row>
    <row r="28">
      <c r="A28" s="5" t="inlineStr">
        <is>
          <t>Cash, end of period</t>
        </is>
      </c>
      <c r="B28" s="9">
        <f>'Balance Sheet'!B6</f>
        <v/>
      </c>
    </row>
    <row r="29">
      <c r="A29" s="10" t="inlineStr">
        <is>
          <t>Check: ending = beginning + change (should be 0)</t>
        </is>
      </c>
      <c r="B29" s="44">
        <f>B28-(B27+B26)</f>
        <v/>
      </c>
    </row>
  </sheetData>
  <mergeCells count="2">
    <mergeCell ref="A2:B2"/>
    <mergeCell ref="A1:B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tabColor rgb="00C00000"/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cols>
    <col width="44" customWidth="1" min="1" max="1"/>
    <col width="22" customWidth="1" min="2" max="2"/>
    <col width="12" customWidth="1" min="3" max="3"/>
    <col width="60" customWidth="1" min="4" max="4"/>
  </cols>
  <sheetData>
    <row r="1" ht="24" customHeight="1">
      <c r="A1" s="1" t="inlineStr">
        <is>
          <t>Acme Foods Co. -- Data Quality Checks</t>
        </is>
      </c>
    </row>
    <row r="2">
      <c r="A2" s="2" t="inlineStr">
        <is>
          <t>January 2026</t>
        </is>
      </c>
    </row>
    <row r="3" ht="18" customHeight="1">
      <c r="A3" s="3" t="inlineStr">
        <is>
          <t>Check</t>
        </is>
      </c>
      <c r="B3" s="3" t="inlineStr">
        <is>
          <t>Result</t>
        </is>
      </c>
      <c r="C3" s="3" t="inlineStr">
        <is>
          <t>Status</t>
        </is>
      </c>
      <c r="D3" s="3" t="inlineStr">
        <is>
          <t>Notes</t>
        </is>
      </c>
    </row>
    <row r="4" ht="22" customHeight="1">
      <c r="A4" s="5" t="inlineStr">
        <is>
          <t>Import detection</t>
        </is>
      </c>
      <c r="B4" s="4" t="inlineStr">
        <is>
          <t>trial_balance (signed mode)</t>
        </is>
      </c>
      <c r="C4" s="45" t="inlineStr">
        <is>
          <t>"PASS"</t>
        </is>
      </c>
      <c r="D4" s="19" t="inlineStr">
        <is>
          <t>Detected debit/credit columns ('Debit'/'Credit'); treated as a trial balance.</t>
        </is>
      </c>
    </row>
    <row r="5" ht="22" customHeight="1">
      <c r="A5" s="5" t="inlineStr">
        <is>
          <t>Trial balance out-of-balance (debits - credits)</t>
        </is>
      </c>
      <c r="B5" s="4">
        <f>SUM('Raw Input'!C2:C10000)-SUM('Raw Input'!D2:D10000)</f>
        <v/>
      </c>
      <c r="C5" s="45">
        <f>IF(ABS(B5)&lt;0.01,"PASS","FLAG")</f>
        <v/>
      </c>
      <c r="D5" s="19" t="inlineStr">
        <is>
          <t>Debits must equal credits before the packet means anything.</t>
        </is>
      </c>
    </row>
    <row r="6" ht="22" customHeight="1">
      <c r="A6" s="5" t="inlineStr">
        <is>
          <t>Unmapped accounts (no GL line)</t>
        </is>
      </c>
      <c r="B6" s="46" t="n">
        <v>0</v>
      </c>
      <c r="C6" s="45">
        <f>IF(B6=0,"PASS","FLAG")</f>
        <v/>
      </c>
      <c r="D6" s="19" t="inlineStr">
        <is>
          <t>All accounts mapped.</t>
        </is>
      </c>
    </row>
    <row r="7" ht="22" customHeight="1">
      <c r="A7" s="5" t="inlineStr">
        <is>
          <t>Accounts mapped by fuzzy name match (review)</t>
        </is>
      </c>
      <c r="B7" s="46" t="n">
        <v>0</v>
      </c>
      <c r="C7" s="45">
        <f>IF(B7=0,"PASS","REVIEW")</f>
        <v/>
      </c>
      <c r="D7" s="19" t="inlineStr">
        <is>
          <t>Every account hit the mapping file exactly.</t>
        </is>
      </c>
    </row>
    <row r="8" ht="22" customHeight="1">
      <c r="A8" s="5" t="inlineStr">
        <is>
          <t>P&amp;L accounts missing channel/class</t>
        </is>
      </c>
      <c r="B8" s="46" t="n">
        <v>5</v>
      </c>
      <c r="C8" s="45">
        <f>IF(B8=0,"PASS","REVIEW")</f>
        <v/>
      </c>
      <c r="D8" s="19" t="inlineStr">
        <is>
          <t>40400 Other Revenue; 66400 Miscellaneous; 70000 Interest Income; 70100 Gain on Sale of Assets; 71000 Other Expense</t>
        </is>
      </c>
    </row>
    <row r="9" ht="22" customHeight="1">
      <c r="A9" s="5" t="inlineStr">
        <is>
          <t>Cash &amp; cash equivalents balance</t>
        </is>
      </c>
      <c r="B9" s="46" t="n">
        <v>167300</v>
      </c>
      <c r="C9" s="45">
        <f>IF(B9&gt;=0,"PASS","FLAG")</f>
        <v/>
      </c>
      <c r="D9" s="19" t="inlineStr">
        <is>
          <t>Tie to the bank reconciliation; investigate negatives.</t>
        </is>
      </c>
    </row>
    <row r="10" ht="22" customHeight="1">
      <c r="A10" s="5" t="inlineStr">
        <is>
          <t>Net income tie-out (P&amp;L vs Balance Sheet)</t>
        </is>
      </c>
      <c r="B10" s="4">
        <f>'P&amp;L'!B22-'Balance Sheet'!B28</f>
        <v/>
      </c>
      <c r="C10" s="45">
        <f>IF(ABS(B10)&lt;0.01,"PASS","FLAG")</f>
        <v/>
      </c>
      <c r="D10" s="19" t="inlineStr">
        <is>
          <t>Must be zero.</t>
        </is>
      </c>
    </row>
    <row r="11" ht="22" customHeight="1">
      <c r="A11" s="5" t="inlineStr">
        <is>
          <t>Balance sheet balanced (Assets - L&amp;E)</t>
        </is>
      </c>
      <c r="B11" s="4">
        <f>'Balance Sheet'!B31</f>
        <v/>
      </c>
      <c r="C11" s="45">
        <f>IF(ABS(B11)&lt;0.01,"PASS","FLAG")</f>
        <v/>
      </c>
      <c r="D11" s="19" t="inlineStr">
        <is>
          <t>Must be zero.</t>
        </is>
      </c>
    </row>
    <row r="12" ht="22" customHeight="1">
      <c r="A12" s="5" t="inlineStr">
        <is>
          <t>Packet tabs populated</t>
        </is>
      </c>
      <c r="B12" s="4" t="inlineStr">
        <is>
          <t>10/10</t>
        </is>
      </c>
      <c r="C12" s="45" t="inlineStr">
        <is>
          <t>"PASS"</t>
        </is>
      </c>
      <c r="D12" s="19" t="inlineStr">
        <is>
          <t>All ten tabs generated with data.</t>
        </is>
      </c>
    </row>
  </sheetData>
  <mergeCells count="2">
    <mergeCell ref="A1:D1"/>
    <mergeCell ref="A2:D2"/>
  </mergeCells>
  <conditionalFormatting sqref="C4:C12">
    <cfRule type="cellIs" priority="1" operator="equal" dxfId="0">
      <formula>"PASS"</formula>
    </cfRule>
    <cfRule type="cellIs" priority="2" operator="equal" dxfId="4">
      <formula>"FLAG"</formula>
    </cfRule>
    <cfRule type="cellIs" priority="3" operator="equal" dxfId="2">
      <formula>"REVIEW"</formula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2026-10-19T07:12:16+00:00Z</dcterms:created>
  <dcterms:modified xmlns:dcterms="http://purl.org/dc/terms/" xmlns:xsi="http://www.w3.org/2001/XMLSchema-instance" xsi:type="dcterms:W3CDTF">2026-10-19T07:12:16+00:00Z</dcterms:modified>
</cp:coreProperties>
</file>